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losrubio/Desktop/"/>
    </mc:Choice>
  </mc:AlternateContent>
  <xr:revisionPtr revIDLastSave="0" documentId="13_ncr:1_{FCFBDCEF-509D-0B44-8103-18FCE4121533}" xr6:coauthVersionLast="47" xr6:coauthVersionMax="47" xr10:uidLastSave="{00000000-0000-0000-0000-000000000000}"/>
  <bookViews>
    <workbookView xWindow="0" yWindow="500" windowWidth="28800" windowHeight="16420" tabRatio="500" activeTab="2" xr2:uid="{00000000-000D-0000-FFFF-FFFF00000000}"/>
  </bookViews>
  <sheets>
    <sheet name="Donante" sheetId="1" r:id="rId1"/>
    <sheet name="Hoja2 (2)" sheetId="6" r:id="rId2"/>
    <sheet name="Receptor" sheetId="4" r:id="rId3"/>
    <sheet name="Hoja4" sheetId="5" r:id="rId4"/>
    <sheet name="Hoja2" sheetId="2" r:id="rId5"/>
  </sheets>
  <definedNames>
    <definedName name="_xlnm._FilterDatabase" localSheetId="0" hidden="1">Donante!$A$1:$GE$75</definedName>
    <definedName name="_xlnm._FilterDatabase" localSheetId="2" hidden="1">Receptor!$A$1:$AS$46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2" i="1"/>
  <c r="S73" i="1"/>
  <c r="S74" i="1"/>
  <c r="S75" i="1"/>
  <c r="S2" i="1"/>
  <c r="G3" i="1"/>
  <c r="G4" i="1"/>
  <c r="G5" i="1"/>
  <c r="G6" i="1"/>
  <c r="G7" i="1"/>
  <c r="G8" i="1"/>
  <c r="G10" i="1"/>
  <c r="G11" i="1"/>
  <c r="G12" i="1"/>
  <c r="G13" i="1"/>
  <c r="G15" i="1"/>
  <c r="G16" i="1"/>
  <c r="G17" i="1"/>
  <c r="G18" i="1"/>
  <c r="G19" i="1"/>
  <c r="G20" i="1"/>
  <c r="G21" i="1"/>
  <c r="G22" i="1"/>
  <c r="G23" i="1"/>
  <c r="G24" i="1"/>
  <c r="G25" i="1"/>
  <c r="G29" i="1"/>
  <c r="G30" i="1"/>
  <c r="G31" i="1"/>
  <c r="G32" i="1"/>
  <c r="G33" i="1"/>
  <c r="G35" i="1"/>
  <c r="G36" i="1"/>
  <c r="G37" i="1"/>
  <c r="G38" i="1"/>
  <c r="G39" i="1"/>
  <c r="G41" i="1"/>
  <c r="G42" i="1"/>
  <c r="G43" i="1"/>
  <c r="G44" i="1"/>
  <c r="G45" i="1"/>
  <c r="G46" i="1"/>
  <c r="G47" i="1"/>
  <c r="G48" i="1"/>
  <c r="G49" i="1"/>
  <c r="G50" i="1"/>
  <c r="G51" i="1"/>
  <c r="G52" i="1"/>
  <c r="G54" i="1"/>
  <c r="G56" i="1"/>
  <c r="G57" i="1"/>
  <c r="G58" i="1"/>
  <c r="G59" i="1"/>
  <c r="G60" i="1"/>
  <c r="G62" i="1"/>
  <c r="G63" i="1"/>
  <c r="G65" i="1"/>
  <c r="G66" i="1"/>
  <c r="G67" i="1"/>
  <c r="G69" i="1"/>
  <c r="G71" i="1"/>
  <c r="G73" i="1"/>
  <c r="G74" i="1"/>
  <c r="G75" i="1"/>
  <c r="G2" i="1"/>
  <c r="BI8" i="1"/>
</calcChain>
</file>

<file path=xl/sharedStrings.xml><?xml version="1.0" encoding="utf-8"?>
<sst xmlns="http://schemas.openxmlformats.org/spreadsheetml/2006/main" count="1501" uniqueCount="888">
  <si>
    <t>EDAD</t>
  </si>
  <si>
    <t>SEXO</t>
  </si>
  <si>
    <t>SUBDIAGNOSTICODONANTE</t>
  </si>
  <si>
    <t>PESO</t>
  </si>
  <si>
    <t>TALLA</t>
  </si>
  <si>
    <t>PERFUSION REGIONAL ABDOMINAL</t>
  </si>
  <si>
    <t>TIPO PRESERV ABD</t>
  </si>
  <si>
    <t>0=HTA</t>
  </si>
  <si>
    <t>1=Diabetes</t>
  </si>
  <si>
    <t>2=Tabaco</t>
  </si>
  <si>
    <t>3=Colesterol</t>
  </si>
  <si>
    <t>Antecedentes_Codificación</t>
  </si>
  <si>
    <t>3=Cardiopatia_isquemica</t>
  </si>
  <si>
    <t>Causa_fallecimiento</t>
  </si>
  <si>
    <t>0=Normal</t>
  </si>
  <si>
    <t>1= Patologica</t>
  </si>
  <si>
    <t>6=Otras</t>
  </si>
  <si>
    <t>6=0tras</t>
  </si>
  <si>
    <t>0=Summa</t>
  </si>
  <si>
    <t>1=Samur</t>
  </si>
  <si>
    <t>2=Cruz_Roja</t>
  </si>
  <si>
    <t>0= Mecánica</t>
  </si>
  <si>
    <t>1= Manual</t>
  </si>
  <si>
    <t>CARDIOCOMPRESION_EXTRAHOSPITALARIA</t>
  </si>
  <si>
    <t>CC_EXTRAHOSP_MECANICA_ESPECIFICAR</t>
  </si>
  <si>
    <t>0= LUCAS_2</t>
  </si>
  <si>
    <t>1= LUCAS_3</t>
  </si>
  <si>
    <t>CARDIOCOMPRESION_INTRAHOSPITALARIA</t>
  </si>
  <si>
    <t>0= Mecanica</t>
  </si>
  <si>
    <t>0= Hipotermia</t>
  </si>
  <si>
    <t>1= Normotermia</t>
  </si>
  <si>
    <t>0=Perfusion_regional_abdominal_Hipotermica</t>
  </si>
  <si>
    <t>1=Perfusion_regional_abdominal_Normotermica</t>
  </si>
  <si>
    <t>PRESERVACION_IS_PULMONAR</t>
  </si>
  <si>
    <t>PRESERVACION_IS_RENAL</t>
  </si>
  <si>
    <t>PRESERVACION_IS_HEPATICA</t>
  </si>
  <si>
    <t>TIPO_PRESERVACION_EXTRACCION</t>
  </si>
  <si>
    <t>0=Perfusion_regional_abdominal</t>
  </si>
  <si>
    <t>TIPO_PRESERV_ABD</t>
  </si>
  <si>
    <t xml:space="preserve">0=Perfusion_regional_abdominal_Hipotermica </t>
  </si>
  <si>
    <t xml:space="preserve">1=Perfusion_regional_abdominal_Normotermica </t>
  </si>
  <si>
    <t>PRESERVACION_ARTERIA_PULMONAR</t>
  </si>
  <si>
    <t>PRESERVACION_EX_SITU_RINON_IZ</t>
  </si>
  <si>
    <t>Sindrome de Alport</t>
  </si>
  <si>
    <t>Retrraso en la función inicial del injerto secundaria a NTA</t>
  </si>
  <si>
    <t>diabetes esteroidea, ITU tratada con ciprofloxacino</t>
  </si>
  <si>
    <t>nefroangioesclerótico en HD</t>
  </si>
  <si>
    <t xml:space="preserve">HLA DR 7/8; B 35/44; A 2/68
</t>
  </si>
  <si>
    <t xml:space="preserve">Rotura del drenaje quirúrgico al intentar retirarlo (quedando un trozo de drenaje dentro del paciente </t>
  </si>
  <si>
    <t>diabetes esteroidea, Hiperpotasemia, no infecciones</t>
  </si>
  <si>
    <t>Poliquistosis hepatorrenal</t>
  </si>
  <si>
    <t>4 incompatibilidades (DR13,B53,B58,A3)</t>
  </si>
  <si>
    <t>Trombosis de vena renal que requirió trasplantectomia</t>
  </si>
  <si>
    <t xml:space="preserve">IRC secundaria a proliferación mesangial y cambios de esclerosis segmentaia y focal
</t>
  </si>
  <si>
    <t>A2/A24, B13, B14 (64), DR7/DR11</t>
  </si>
  <si>
    <t>Fiebre sin foco, sin aislamiento microbiológico</t>
  </si>
  <si>
    <t>Nefropatía intersticial crónica en contexto de UPO por válvulas de uretra posterior</t>
  </si>
  <si>
    <t>6 incompatibilidades</t>
  </si>
  <si>
    <t>Poliquistosis renal autosomica dominante</t>
  </si>
  <si>
    <t>6 incompatibilidades HLA</t>
  </si>
  <si>
    <t>nefropatía diabética</t>
  </si>
  <si>
    <t>HLA: DR *01/12, B *48/55, A *2/11</t>
  </si>
  <si>
    <t>Trombosis extensa de sistema venoso profundo de MID</t>
  </si>
  <si>
    <t>ITU</t>
  </si>
  <si>
    <t xml:space="preserve">ERC secundaria a nefropatía lúpica </t>
  </si>
  <si>
    <t xml:space="preserve"> HLA: DR *11/14, B *50/51, A *2/33</t>
  </si>
  <si>
    <t xml:space="preserve">Sección longitudinal accidental de intestino delgado durante la cirugía del trasplante. Diabetes esteroidea </t>
  </si>
  <si>
    <t>Pico febril aislado en probable relación a vía central, Hematuria asociada a coágulos que precisa LVC</t>
  </si>
  <si>
    <t>ERC no filiada</t>
  </si>
  <si>
    <t>HLA: DR 1/11, B 14/15, A 2/24. PRA 0</t>
  </si>
  <si>
    <t>RAO</t>
  </si>
  <si>
    <t>ERC secundaria anefropatía membranosa</t>
  </si>
  <si>
    <t>Nefroangioesclerosis</t>
  </si>
  <si>
    <t>4 incompatibilidades HLA</t>
  </si>
  <si>
    <t>Hematoma que comprime la vena renal</t>
  </si>
  <si>
    <t>Diarrea y fiebre, coprocultivo negativos</t>
  </si>
  <si>
    <t>ITU por Klebsiella pneumoniae BLEE.Muguet oral</t>
  </si>
  <si>
    <t>Síndrome de Alport</t>
  </si>
  <si>
    <t>Nefropatía lúpica</t>
  </si>
  <si>
    <t>Dos colecciones periinjerto</t>
  </si>
  <si>
    <t>ITU por K. Oxytoca, ITU por E.faecium, ITU por K. Oxytoca</t>
  </si>
  <si>
    <t>ERC secundaria a HTA maligna secundaria a hiperaldosteronismo primario</t>
  </si>
  <si>
    <t>HLA DR 3/7; B 27/44; A 1/2</t>
  </si>
  <si>
    <t>ERC nefritis túbulo-intersticial crónica</t>
  </si>
  <si>
    <t xml:space="preserve"> HLA: DR 4/9, B 15 (62)/54, A 11/24</t>
  </si>
  <si>
    <t xml:space="preserve">Infarto del polo inferior-medial del injerto por sección de arteria polar </t>
  </si>
  <si>
    <t>Diabetes esteroidea</t>
  </si>
  <si>
    <t>trombosis venosa y trasplantectomia inmediata</t>
  </si>
  <si>
    <t>IRC secundaria a hialinosis segmentaria</t>
  </si>
  <si>
    <t>CMV, GEA</t>
  </si>
  <si>
    <t>ERC por Poliquistosis hepatorrena</t>
  </si>
  <si>
    <t>HD marzo del 2018, DR 3(17)/14, A 8/18, A 1/35. Mismatch 5</t>
  </si>
  <si>
    <t>ERC tras fallo renalm 1º transplante glomerulonefritis</t>
  </si>
  <si>
    <t xml:space="preserve">infarto renal </t>
  </si>
  <si>
    <t>PRESERVA_EX_SITU_RINON_IZ_TIPO</t>
  </si>
  <si>
    <t>PRESERVACION_EX_SITU_RINON_DR</t>
  </si>
  <si>
    <t>0=Preservacion_estatica_fria</t>
  </si>
  <si>
    <t>PRESERVA_EX_SITU_RINON_DR_TIPO</t>
  </si>
  <si>
    <t>PRESERVACION_EX_SITU_RINON DR</t>
  </si>
  <si>
    <t>PRESERVACION_EX_SITU_PULMONAR</t>
  </si>
  <si>
    <t>PRESERVA_EX_SITU_PULMONAR_TIPO</t>
  </si>
  <si>
    <t>0=Perfusion_normotermica</t>
  </si>
  <si>
    <t>HOSPITAL_DONANTE</t>
  </si>
  <si>
    <t>0=H_CLÍNICO_SAN_CARLOS</t>
  </si>
  <si>
    <t>1=H_12_DE_OCTUBRE</t>
  </si>
  <si>
    <t>GRUPO_SANGUINEO</t>
  </si>
  <si>
    <t>0=0</t>
  </si>
  <si>
    <t>1=A</t>
  </si>
  <si>
    <t>2=B</t>
  </si>
  <si>
    <t>3=AB</t>
  </si>
  <si>
    <t>0=Hombre</t>
  </si>
  <si>
    <t>1=Mujer</t>
  </si>
  <si>
    <t>DIAGNOSTICO_DONANTE</t>
  </si>
  <si>
    <t>0=Encefalopatia_Anoxica</t>
  </si>
  <si>
    <t>1=Otros</t>
  </si>
  <si>
    <t>0=Parada_cardiorrespiratoria</t>
  </si>
  <si>
    <t>OBSERVACIONES_IDENTIF</t>
  </si>
  <si>
    <t>0=Desconocido</t>
  </si>
  <si>
    <t>1=TEP</t>
  </si>
  <si>
    <t>2=Arritmia</t>
  </si>
  <si>
    <t>4=Toxicos</t>
  </si>
  <si>
    <t>5=Muerte_subita</t>
  </si>
  <si>
    <t>RX_TORAX</t>
  </si>
  <si>
    <t>SUBDIAGNOSTICO_DONANTE</t>
  </si>
  <si>
    <t>SEM_IMPLICADO</t>
  </si>
  <si>
    <t>CC_INTRAHOS_MECANICA_ESPECIFICAR</t>
  </si>
  <si>
    <t>0=CARDIOCOMPRESOR</t>
  </si>
  <si>
    <t>1=LUCAS_2</t>
  </si>
  <si>
    <t>2=LUCAS_3</t>
  </si>
  <si>
    <t>PERFUSION_REGIONAL_ABDOMINAL</t>
  </si>
  <si>
    <t>0=Hipotermia</t>
  </si>
  <si>
    <t>1=Normotermia</t>
  </si>
  <si>
    <t>INCISION_PIEL_ABDOMINAL</t>
  </si>
  <si>
    <t>EXTRACCION_PRIMER_ORG_ABDOMIN</t>
  </si>
  <si>
    <t>EXTRACCION_PRIMER_PULMON</t>
  </si>
  <si>
    <t>HOSPITAL_TRASPLANTE</t>
  </si>
  <si>
    <t>ORGANO_TRASPLANTE</t>
  </si>
  <si>
    <t>0=Riñon_Derecho</t>
  </si>
  <si>
    <t>1=Riñon_Izquierdo</t>
  </si>
  <si>
    <t>INFORMACION_DEL_TRASPLANTE_CODIGO_CORE_RECEPTOR</t>
  </si>
  <si>
    <t>FEC_NACIMIENTO</t>
  </si>
  <si>
    <t>FECHA_TRASPLANTE</t>
  </si>
  <si>
    <t>CODIGO_CORE_DONANTE</t>
  </si>
  <si>
    <t>Causa_IRC</t>
  </si>
  <si>
    <t>Dialisis</t>
  </si>
  <si>
    <t>Incompatibilidades_donante</t>
  </si>
  <si>
    <t>Fallo_renal_1</t>
  </si>
  <si>
    <t>Rechazo_agudo</t>
  </si>
  <si>
    <t>Retraso_función_renal</t>
  </si>
  <si>
    <t>Complicaciones_urologicas</t>
  </si>
  <si>
    <t>Infecciones_relacionadas</t>
  </si>
  <si>
    <t>Supervivencia_injerto_al_año</t>
  </si>
  <si>
    <t>Supervivencia_paciente_al_año</t>
  </si>
  <si>
    <t>Motivo_exitus</t>
  </si>
  <si>
    <t>0=No_exitus</t>
  </si>
  <si>
    <t>Enfermedad poliquistica del adulto</t>
  </si>
  <si>
    <t>ERC secundaria a glomerulonefritis proliferativa necrotizante por Granulomatosis de Wegener</t>
  </si>
  <si>
    <t>ZONA DE CAPNOGRAFIA</t>
  </si>
  <si>
    <t>CODIGO_DONANTE_CORE</t>
  </si>
  <si>
    <t>FECHA_DONACION</t>
  </si>
  <si>
    <t>CAUSA_FALLECIMIENTO_DANC</t>
  </si>
  <si>
    <t>INICIO_PARADA_CARDIO_RESP</t>
  </si>
  <si>
    <t>INICIO_MANIOBRAS_SVA</t>
  </si>
  <si>
    <t>LLEGADA_HOSPITAL</t>
  </si>
  <si>
    <t>DIAGNOSTICO_FALLECIMIENTO</t>
  </si>
  <si>
    <t>CC._EXTRAHOSP._MECANICA_ESPECIFICAR</t>
  </si>
  <si>
    <t>CC._INTRAHOSP._MECANICA_ESPECIFICAR</t>
  </si>
  <si>
    <t>HORA_ENTRADA_EN_BOMBA</t>
  </si>
  <si>
    <t>HORA_INI_PERFUSI_LIQUIDO_FRIO</t>
  </si>
  <si>
    <t>0=NO</t>
  </si>
  <si>
    <t>1=SI</t>
  </si>
  <si>
    <t>RIÑON_DCHO_EXTRAIDO</t>
  </si>
  <si>
    <t>RIÑON_DCHO_VALIDO</t>
  </si>
  <si>
    <t>RIÑON_DCHO_TRANSPLANTADO</t>
  </si>
  <si>
    <t>RIÑON_IZDO_EXTRAIDO</t>
  </si>
  <si>
    <t>RIÑON_IZDO_VALIDO</t>
  </si>
  <si>
    <t>RIÑON_IZDO_TRANSPLANTADO</t>
  </si>
  <si>
    <t>PULMON_DCHO_EXTRAIDO</t>
  </si>
  <si>
    <t>PULMON_DCHO_VALIDO</t>
  </si>
  <si>
    <t>PULMON_DCHO_TRANSPLANTADO</t>
  </si>
  <si>
    <t>PULMON_IZDO_EXTRAIDO</t>
  </si>
  <si>
    <t>PULMON_IZDO_VALIDO</t>
  </si>
  <si>
    <t>PULMON_IZDO_TRANSPLANTADO</t>
  </si>
  <si>
    <t>HTA</t>
  </si>
  <si>
    <t>0=No</t>
  </si>
  <si>
    <t>1=Si</t>
  </si>
  <si>
    <t>Creat_dia_1</t>
  </si>
  <si>
    <t>Creat_dia_7</t>
  </si>
  <si>
    <t>Creat_dia_15</t>
  </si>
  <si>
    <t>Prot_dia_1</t>
  </si>
  <si>
    <t>Prot_dia_7</t>
  </si>
  <si>
    <t>Prot_dia_15</t>
  </si>
  <si>
    <t>Creat_mes_1</t>
  </si>
  <si>
    <t>Creat_mes_3</t>
  </si>
  <si>
    <t>Creat_mes_6</t>
  </si>
  <si>
    <t>Creat_mes_12</t>
  </si>
  <si>
    <t>Prot_mes_1</t>
  </si>
  <si>
    <t>Prot_mes_3</t>
  </si>
  <si>
    <t>Prot_mes_6</t>
  </si>
  <si>
    <t>Prot_mes_12</t>
  </si>
  <si>
    <t>Complicaciones_urologicas_comentarios</t>
  </si>
  <si>
    <t>Tac_Ciclosp</t>
  </si>
  <si>
    <t>1: Tac</t>
  </si>
  <si>
    <t>2: Ciclosporina</t>
  </si>
  <si>
    <t>0: No complicaciones</t>
  </si>
  <si>
    <t>1: Si complicaciones</t>
  </si>
  <si>
    <t>0: No infecciones</t>
  </si>
  <si>
    <t>1: Si infecciones</t>
  </si>
  <si>
    <t>Tac_mes_1</t>
  </si>
  <si>
    <t>Tac_mes_3</t>
  </si>
  <si>
    <t>Tac_dia_15</t>
  </si>
  <si>
    <t>CsA_dia_15</t>
  </si>
  <si>
    <t>CsA_mes_1</t>
  </si>
  <si>
    <t>CsA_mes_3</t>
  </si>
  <si>
    <t>Causa_IRC_categ</t>
  </si>
  <si>
    <t>Incompatibilidades_categ</t>
  </si>
  <si>
    <t>HIGADO_EXTRAIDO</t>
  </si>
  <si>
    <t>HIGADO_TRANSPLANTADO</t>
  </si>
  <si>
    <t>HIGADO_VALIDO</t>
  </si>
  <si>
    <t>4=Alt_coagulación</t>
  </si>
  <si>
    <t>5=Problemas_cardiacos</t>
  </si>
  <si>
    <t>Número_incompatibilidades</t>
  </si>
  <si>
    <t>HAY 1s EN LA BASE PERO NO SE ESPECIFICA QUE ES</t>
  </si>
  <si>
    <t>HLA DR 7/16; B 15/35; A 24</t>
  </si>
  <si>
    <t>Dias_función_renal_OK</t>
  </si>
  <si>
    <t>N_diálisis_tras_trasplantes</t>
  </si>
  <si>
    <t>Infecciones_relacionadas_Comentarios</t>
  </si>
  <si>
    <t>IMC</t>
  </si>
  <si>
    <t>2=Autopulse</t>
  </si>
  <si>
    <t>RIÑÓN IZQUIERDO DONABLE</t>
  </si>
  <si>
    <t>CCAA RESIDENCIA</t>
  </si>
  <si>
    <t xml:space="preserve">ACHVC </t>
  </si>
  <si>
    <t xml:space="preserve">AGHBS </t>
  </si>
  <si>
    <t xml:space="preserve">ACHBC </t>
  </si>
  <si>
    <t xml:space="preserve">ACHBS </t>
  </si>
  <si>
    <t xml:space="preserve">ACHBE </t>
  </si>
  <si>
    <t xml:space="preserve">HIVAC </t>
  </si>
  <si>
    <t>HIVAG</t>
  </si>
  <si>
    <t xml:space="preserve">CMVIGG </t>
  </si>
  <si>
    <t xml:space="preserve">CMVIGM </t>
  </si>
  <si>
    <t>ALCOHOL</t>
  </si>
  <si>
    <t>Alcohol moderado (50g/dia)</t>
  </si>
  <si>
    <t>diseccion aneurisma</t>
  </si>
  <si>
    <t>mala perfusion</t>
  </si>
  <si>
    <t>otros</t>
  </si>
  <si>
    <t>patologia infecciosa</t>
  </si>
  <si>
    <t>malformaciones vasculares</t>
  </si>
  <si>
    <t>trombosis infarto renal</t>
  </si>
  <si>
    <t>otras</t>
  </si>
  <si>
    <t>riñon diseccion aneurisma arteria renal</t>
  </si>
  <si>
    <t>riñon mala perfusion</t>
  </si>
  <si>
    <t>NOTAS</t>
  </si>
  <si>
    <t>País de nacimiento</t>
  </si>
  <si>
    <t>0=España</t>
  </si>
  <si>
    <t>1=Rep.Dom</t>
  </si>
  <si>
    <t>2=Ecuador</t>
  </si>
  <si>
    <t>3=Reino_Unido</t>
  </si>
  <si>
    <t>4=Polonia</t>
  </si>
  <si>
    <t>5=Colombia</t>
  </si>
  <si>
    <t>6=Peru</t>
  </si>
  <si>
    <t>7=Venezuela</t>
  </si>
  <si>
    <t>0=Madrid</t>
  </si>
  <si>
    <t>1=Cast_Leon</t>
  </si>
  <si>
    <t>2=Galicia</t>
  </si>
  <si>
    <t>Antígenos</t>
  </si>
  <si>
    <t>0=Negativo</t>
  </si>
  <si>
    <t>1=Positivo</t>
  </si>
  <si>
    <t>TIEMPO_INICIO_SVA_MIN</t>
  </si>
  <si>
    <t>N_ORGANOS_OBTENIDOS</t>
  </si>
  <si>
    <t>TENDENCIA_CAPNOMETRIA</t>
  </si>
  <si>
    <t>TIPO_TRASLADO (AMBULANCIA/HELICOPTERO)</t>
  </si>
  <si>
    <t>UCI_CUIDADOS_DONAC</t>
  </si>
  <si>
    <t>HORUS</t>
  </si>
  <si>
    <t>Sexo</t>
  </si>
  <si>
    <t>Independencia</t>
  </si>
  <si>
    <t>Comorbilidades</t>
  </si>
  <si>
    <t>MotivoLlamada</t>
  </si>
  <si>
    <t>ParadaPresenciada</t>
  </si>
  <si>
    <t>PresenciadaPor</t>
  </si>
  <si>
    <t>SoporteVitalPrevio</t>
  </si>
  <si>
    <t>RealizadoPor</t>
  </si>
  <si>
    <t>TipoReanimacion</t>
  </si>
  <si>
    <t>Desfibrilacion</t>
  </si>
  <si>
    <t>DEAPublico</t>
  </si>
  <si>
    <t>ActivacionSEMnoSVA</t>
  </si>
  <si>
    <t>TipoRecurso</t>
  </si>
  <si>
    <t>ReanimacionRealizadaSEMnoSVA</t>
  </si>
  <si>
    <t>Razon_NoIndicada_Futil_SEMnoSVA</t>
  </si>
  <si>
    <t>TipoReanimacionSEMnoSVA</t>
  </si>
  <si>
    <t>DesfibrilacionSEMnoSVA</t>
  </si>
  <si>
    <t>ActivacionSVA</t>
  </si>
  <si>
    <t>ReanimacionRealizadaSVA</t>
  </si>
  <si>
    <t>Razon_NoIndicada_Futil_SVA</t>
  </si>
  <si>
    <t>RitmoInicialPCR</t>
  </si>
  <si>
    <t>DesfibrilacionEE</t>
  </si>
  <si>
    <t>AislamientoViaAereaReanim</t>
  </si>
  <si>
    <t>TipoAislamiento</t>
  </si>
  <si>
    <t>Adrenalina</t>
  </si>
  <si>
    <t>Hipotermia</t>
  </si>
  <si>
    <t>ROSC</t>
  </si>
  <si>
    <t>ECMO</t>
  </si>
  <si>
    <t>DiagnosticoHospitalario</t>
  </si>
  <si>
    <t>reconocePCR</t>
  </si>
  <si>
    <t>AsistenciatelefonicaPCR</t>
  </si>
  <si>
    <t>Analítica</t>
  </si>
  <si>
    <t>seguimtipodonacion</t>
  </si>
  <si>
    <t>9-Telefono (abre ficha)</t>
  </si>
  <si>
    <t>0= SI</t>
  </si>
  <si>
    <t>1= NO</t>
  </si>
  <si>
    <t>1=Masculino</t>
  </si>
  <si>
    <t>2=Femenino</t>
  </si>
  <si>
    <t>99=Desconocido</t>
  </si>
  <si>
    <t>9999=No registrado</t>
  </si>
  <si>
    <t>1=CPC 1-2</t>
  </si>
  <si>
    <t>2=CPC2-3</t>
  </si>
  <si>
    <t>99 Desconocido</t>
  </si>
  <si>
    <t>9999 No registrado</t>
  </si>
  <si>
    <t>2=No</t>
  </si>
  <si>
    <t>1-PCR</t>
  </si>
  <si>
    <t>2-INCONSCIENTE-COMA</t>
  </si>
  <si>
    <t>3-DOLOR TORÁCICO</t>
  </si>
  <si>
    <t>4-DISNEA</t>
  </si>
  <si>
    <t>5-SINCOPE</t>
  </si>
  <si>
    <t>6-EVENTO TRAUMATICO</t>
  </si>
  <si>
    <t>7- AHOGAMIENTO</t>
  </si>
  <si>
    <t>8-CONVULSIONES</t>
  </si>
  <si>
    <t>9- SINTOMAS INESPECIFICOS</t>
  </si>
  <si>
    <t>99-DESCONOCIDO</t>
  </si>
  <si>
    <t>9999 NO REGISTRADO</t>
  </si>
  <si>
    <t>lUGAR DE PARADA</t>
  </si>
  <si>
    <t>1-dOMICILIO</t>
  </si>
  <si>
    <t>2-CALLE</t>
  </si>
  <si>
    <t>3-LUGAR DE TRABAJO</t>
  </si>
  <si>
    <t>4-CENTRO RECREATIVO</t>
  </si>
  <si>
    <t>5-EDIFICIO O LUGAR PUBLICO</t>
  </si>
  <si>
    <t>6 CENTRO EDUCATIVO</t>
  </si>
  <si>
    <t>7 RESIDENCIAS SOCIOSANITARIAS</t>
  </si>
  <si>
    <t>8- CENTRO SANITARIO EXTRAHOSPITALARIO</t>
  </si>
  <si>
    <t>9- OTROS</t>
  </si>
  <si>
    <t>99- DESCONOCIDO</t>
  </si>
  <si>
    <t>9999-NO REGISTRADO</t>
  </si>
  <si>
    <t>1- TESTIGO</t>
  </si>
  <si>
    <t>2 Personal sanitario SEM no equipo de Emergencias</t>
  </si>
  <si>
    <t>3- Personal sanitario No SEM</t>
  </si>
  <si>
    <t>4- Personal de otros servicios públicos</t>
  </si>
  <si>
    <t>5-Equipo de Emergencias</t>
  </si>
  <si>
    <t>999 no procede</t>
  </si>
  <si>
    <t>999 no registrado</t>
  </si>
  <si>
    <t>1- testigo</t>
  </si>
  <si>
    <t>3- Personal sanitario no SEM</t>
  </si>
  <si>
    <t>4 Personal sanitario de otros servicios publico</t>
  </si>
  <si>
    <t>1- SVB asistida por telefono</t>
  </si>
  <si>
    <t>2- SVB solo masaje</t>
  </si>
  <si>
    <t>3- svb: Masaje y ventilacion</t>
  </si>
  <si>
    <t>4- SVA</t>
  </si>
  <si>
    <t>99 DESCONOCIDO</t>
  </si>
  <si>
    <t>999 NO PROCEDE</t>
  </si>
  <si>
    <t>9999 NO PROCEDE</t>
  </si>
  <si>
    <t>1- DAI</t>
  </si>
  <si>
    <t>2- USO DEA SIN CHOQUE</t>
  </si>
  <si>
    <t>3- USO DE DEA CON CHOQUE</t>
  </si>
  <si>
    <t>4- DESFIBRILADOR MANUAL</t>
  </si>
  <si>
    <t>5- REALIZADA DISPOSITIVO DESCONOCIDO</t>
  </si>
  <si>
    <t>6- NO REALIZADA</t>
  </si>
  <si>
    <t>99- DESCONOCIDA</t>
  </si>
  <si>
    <t>999- NO REGISTRADA</t>
  </si>
  <si>
    <t>9- DESCONOCIDO</t>
  </si>
  <si>
    <t>99=NO PROCEDE</t>
  </si>
  <si>
    <t>1- si</t>
  </si>
  <si>
    <t>2-no</t>
  </si>
  <si>
    <t>999-no procede</t>
  </si>
  <si>
    <t>1- ambulancia sin enfermeria ni medico</t>
  </si>
  <si>
    <t>2- otro con enfermeria</t>
  </si>
  <si>
    <t>3- otro con médico</t>
  </si>
  <si>
    <t>4- medico y enfermeria no SVA</t>
  </si>
  <si>
    <t>9- desconocido</t>
  </si>
  <si>
    <t>999 No procede</t>
  </si>
  <si>
    <t>1- SI</t>
  </si>
  <si>
    <t>2- SI fútil</t>
  </si>
  <si>
    <t>3- Cuidados postresucitacion en PCR recuperada</t>
  </si>
  <si>
    <t>4- NO: no incicada</t>
  </si>
  <si>
    <t>5- NO: desconocida</t>
  </si>
  <si>
    <t>1- Hora PCR desonocida</t>
  </si>
  <si>
    <t>2- Intervalo desde colapso excesivo sin svb</t>
  </si>
  <si>
    <t>3-Testamento vital (órdenes de no resucitación)</t>
  </si>
  <si>
    <t>4-Situación biológica comprometida</t>
  </si>
  <si>
    <t>5- otros</t>
  </si>
  <si>
    <t>99- deesconocido</t>
  </si>
  <si>
    <t>999- no procede</t>
  </si>
  <si>
    <t>2- SVB: SOLO MASAJE</t>
  </si>
  <si>
    <t>3: SVB: MASAJE Y VENTILACION</t>
  </si>
  <si>
    <t>4: SVA</t>
  </si>
  <si>
    <t>1 DAI</t>
  </si>
  <si>
    <t>2 USO DEA SIN CHOQUE</t>
  </si>
  <si>
    <t>3 USO DEA CON CHOQUE</t>
  </si>
  <si>
    <t>4 DESFIBRILADOR MANUEAL</t>
  </si>
  <si>
    <t>5 REALIZADA DISPOSITIVO DECONOCIDO</t>
  </si>
  <si>
    <t>1 SI</t>
  </si>
  <si>
    <t>2 NO</t>
  </si>
  <si>
    <t>99 NO PROCEDE</t>
  </si>
  <si>
    <t>2- Si fútil</t>
  </si>
  <si>
    <t>3- Cuidados postresucitation en PCR recuperada</t>
  </si>
  <si>
    <t>4- No_No indicada</t>
  </si>
  <si>
    <t>5_ NO_ Desconocida</t>
  </si>
  <si>
    <t>99:DESCONOCIDO</t>
  </si>
  <si>
    <t>1- hORA PCR DESCONOCIDA</t>
  </si>
  <si>
    <t>2-Intervalo desde colapso excesivo sin SVB</t>
  </si>
  <si>
    <t>5-Otros</t>
  </si>
  <si>
    <t>99- Desconocido</t>
  </si>
  <si>
    <t>999- No procede</t>
  </si>
  <si>
    <t>1- FV- TV sin pulso</t>
  </si>
  <si>
    <t>2- Asistolia</t>
  </si>
  <si>
    <t>3- AESP</t>
  </si>
  <si>
    <t>4- BRADICARDIA EXTREMA</t>
  </si>
  <si>
    <t>5- DESA DESFIBRILABLE</t>
  </si>
  <si>
    <t>6- DESA NO DESFIBRILABLE</t>
  </si>
  <si>
    <t>2- NO</t>
  </si>
  <si>
    <t>999- NO PROCEDE</t>
  </si>
  <si>
    <t>1-Previa al equipo de emergencias</t>
  </si>
  <si>
    <t>2-Realizada por equipo de emergencias</t>
  </si>
  <si>
    <t>3-NO REALIZADO</t>
  </si>
  <si>
    <t>1- tUBO OROTRAQUEAL</t>
  </si>
  <si>
    <t>2- DISPOSITIVOS SUPRAGLOTICOS</t>
  </si>
  <si>
    <t>3- OTROS</t>
  </si>
  <si>
    <t>3- DESCONOCIDO</t>
  </si>
  <si>
    <t>ATROPINA</t>
  </si>
  <si>
    <t>AMIODARONA</t>
  </si>
  <si>
    <t>LIQUIDOS</t>
  </si>
  <si>
    <t>IONOTROPOS</t>
  </si>
  <si>
    <t>TROMBOLITICOS</t>
  </si>
  <si>
    <t>BICARBONATO</t>
  </si>
  <si>
    <t>MARCAPASOS</t>
  </si>
  <si>
    <t>CARDIOCOMPRESIION</t>
  </si>
  <si>
    <t>DISPOSITIVOS CALIDAD DE RCP</t>
  </si>
  <si>
    <t>HIPOTERMIA</t>
  </si>
  <si>
    <t>CAPNOGRAFO</t>
  </si>
  <si>
    <t>ETIOLOGIA</t>
  </si>
  <si>
    <t>1- MEDICA</t>
  </si>
  <si>
    <t>2- TRAUMATICA</t>
  </si>
  <si>
    <t>3- SOBREDOSIS</t>
  </si>
  <si>
    <t xml:space="preserve">4- AHOGAMIENTO </t>
  </si>
  <si>
    <t>5- ELECTROCUCION</t>
  </si>
  <si>
    <t>6- ASFICIA</t>
  </si>
  <si>
    <t>ECG 12 DERIVACIONES</t>
  </si>
  <si>
    <t>icp</t>
  </si>
  <si>
    <t>trmbolisis</t>
  </si>
  <si>
    <t>implantacion</t>
  </si>
  <si>
    <t>ecmo</t>
  </si>
  <si>
    <t>1- IAM, SCACEST</t>
  </si>
  <si>
    <t>2 ANGINA INESTABLE/SCASEST</t>
  </si>
  <si>
    <t>3- ARRITMIS MALIGNAS</t>
  </si>
  <si>
    <t>4- ICTUS</t>
  </si>
  <si>
    <t>5- EMBOLISMO PULMONAR</t>
  </si>
  <si>
    <t>6- AHOGAMIENTO</t>
  </si>
  <si>
    <t>7 SEPSIS</t>
  </si>
  <si>
    <t>8 SHOCK TRUAMTICO</t>
  </si>
  <si>
    <t>9 OTROS</t>
  </si>
  <si>
    <t>99 DESONOCIDO</t>
  </si>
  <si>
    <t>9 NO ES POSIBLE</t>
  </si>
  <si>
    <t>1- DONACION MUERTE ENCEFALICA</t>
  </si>
  <si>
    <t>DONACION EN ASISTOLIA</t>
  </si>
  <si>
    <t>nO PROCEDE</t>
  </si>
  <si>
    <t>0=URGENCIAS</t>
  </si>
  <si>
    <t>Urgencias del Severo Ochoa</t>
  </si>
  <si>
    <t>VHC</t>
  </si>
  <si>
    <t>No vuelcan info, ver en coordinacion de trasplantes</t>
  </si>
  <si>
    <t>SVB 20 PREVIOS POR FAMILIARES, SINDROME DE BRUGADA, NO PONEN CUANTAS ADREANALINAS</t>
  </si>
  <si>
    <t>PCR_PRESENCIADA_SVA</t>
  </si>
  <si>
    <t>PCR_SVB_PREVIO</t>
  </si>
  <si>
    <t>SVB por policia</t>
  </si>
  <si>
    <t>SVB policia</t>
  </si>
  <si>
    <t>SVB compañeros de trabajo</t>
  </si>
  <si>
    <t>Avisan del Hospital de la Fraternidad para DANC</t>
  </si>
  <si>
    <t xml:space="preserve">PCR al entrar en el Hospital, Inician maniobras en el hospital. </t>
  </si>
  <si>
    <t>Se les extuba y entra en PCR</t>
  </si>
  <si>
    <t>Se les para tras CVE, no ponen adrenalinas, no sé si estará bien</t>
  </si>
  <si>
    <t>SVB policia, micardiopatia hipertrofica ventricular izquierda</t>
  </si>
  <si>
    <t>Tres o más fármacos antihipertensivos, A, ATENOLOL, ESPIRONOLACTONA, QX reciente</t>
  </si>
  <si>
    <t>Bebiendo tequila se les para en la cara</t>
  </si>
  <si>
    <t>sE LES PARA CON IAM</t>
  </si>
  <si>
    <t>SVB bombero</t>
  </si>
  <si>
    <t>SVB por testigos Y POLICIA, CON DESA tras TE</t>
  </si>
  <si>
    <t>UVI CON SVAE</t>
  </si>
  <si>
    <t>tiempo de isquemia fria/caliente</t>
  </si>
  <si>
    <t>Trasposición de grandes vasos</t>
  </si>
  <si>
    <t>SVB por testigo</t>
  </si>
  <si>
    <t>SVB por familaires, negativa judicial para córneas y tejidos</t>
  </si>
  <si>
    <t>Injerto, score biopsia</t>
  </si>
  <si>
    <t>Tumor malgino fuera del órgano</t>
  </si>
  <si>
    <t>Ateroesclerosis</t>
  </si>
  <si>
    <t>Alcohol moderado (50g/dia), cornea derecha y cornea izquierda</t>
  </si>
  <si>
    <t>Dos reintervenciones por complicaciones de la herida quirúrgica y hematoma perinjerto</t>
  </si>
  <si>
    <t>Infección de a herida quirúrgica</t>
  </si>
  <si>
    <t>ERC secundaria a nefropatia diabética. Primer trasplante en el 2014, disfunción cronica del injerto</t>
  </si>
  <si>
    <t>Neurotoxicidad por tacrolimus, timoglobulina, fallecido</t>
  </si>
  <si>
    <t>Nefrectomia izquierda por traumatismo, nefrectomia derecha por sepsis secundaria a sepsis infeccion de quista. ERC por poliquistosis hepatorrenal</t>
  </si>
  <si>
    <t>Tioglobulina</t>
  </si>
  <si>
    <t>ERC por nefropatia intesticial por uropatia obstructiva</t>
  </si>
  <si>
    <t>Situación predialisis, otro riñon hipoplasico, DR 52/53 B 14(64)/40(61) A24/26 C2/8 DRB1  7/11 DQ 31 2/3 (7)</t>
  </si>
  <si>
    <t>ERC poliquistosis renal</t>
  </si>
  <si>
    <t>Reflujo vesicoureteral</t>
  </si>
  <si>
    <t>ITU E.coli</t>
  </si>
  <si>
    <t>Falta info en el informe</t>
  </si>
  <si>
    <t>ERC nefropatia IGA</t>
  </si>
  <si>
    <t>CMV</t>
  </si>
  <si>
    <t>Falta</t>
  </si>
  <si>
    <t>ERC poliquistocis renal</t>
  </si>
  <si>
    <t>Uropatia obstructivo proximl</t>
  </si>
  <si>
    <t>Isuqemia fria, isquemia caliente, hora de clampaje, glucemia, adrenalina, farmacos,</t>
  </si>
  <si>
    <t>lo mismo</t>
  </si>
  <si>
    <t>Causa de no preservacion:broncoaspiracion.VHC positov. Aspecto renal mala persuion, aspecto aorta sin ateroma. Destestimado por VHC</t>
  </si>
  <si>
    <t xml:space="preserve">No donación pulmonar, tubo con sangre. </t>
  </si>
  <si>
    <t>órganos y tejidos desestimados por sospecha de leucemia, Fastrack con tubo</t>
  </si>
  <si>
    <t>Diseccion aorta desechados, no se extraen tejido oseo, la familia no quiere retasar la autopsia</t>
  </si>
  <si>
    <t>Mala perfusión de los riñones</t>
  </si>
  <si>
    <t>Extrahospitalaria manual, PERSONA EN LA CALLE HACIENDO SVB, 10 MINUTOS EN LLEGAR AVANZADO,ASISTOLIA Y EL OTRO DE SAMUR AESP</t>
  </si>
  <si>
    <t>svb por tecnicos de cruz roja</t>
  </si>
  <si>
    <t>svb por pareja</t>
  </si>
  <si>
    <t xml:space="preserve">Diseccion de aorta ascendente </t>
  </si>
  <si>
    <t>FR</t>
  </si>
  <si>
    <t>PA02</t>
  </si>
  <si>
    <t>ALT</t>
  </si>
  <si>
    <t>AST</t>
  </si>
  <si>
    <t>BILIRRUBINA</t>
  </si>
  <si>
    <t>DEA_DESCARGAS</t>
  </si>
  <si>
    <t>PRESERVACION_PULMONAR</t>
  </si>
  <si>
    <t>NORMOTERMIA</t>
  </si>
  <si>
    <t>INTERLOCUTORES</t>
  </si>
  <si>
    <t>I:E</t>
  </si>
  <si>
    <t>K</t>
  </si>
  <si>
    <t>FOSFORO</t>
  </si>
  <si>
    <t>MAGNESIO</t>
  </si>
  <si>
    <t>SVB por TES que se le para en la cara, dos córneas. Interviene SVB, VIR2 Y UVI 11, ANTECEDENTES SOSPECHA DE HDA</t>
  </si>
  <si>
    <t>LDH</t>
  </si>
  <si>
    <t>GGT</t>
  </si>
  <si>
    <t>PH_FIN_ PRESERVACION</t>
  </si>
  <si>
    <t xml:space="preserve">Hipotermia, Fogarty, temp 21.9, exanguinación </t>
  </si>
  <si>
    <t>Mala perfusión de los injertos renales</t>
  </si>
  <si>
    <t>TOXOPLASMOSIS</t>
  </si>
  <si>
    <t>Hipotermia, lematrie,, temperatura 22ºC</t>
  </si>
  <si>
    <t>Cornea derecha y cornea izquierda. Svb POR TES DE SVB, se les para en la cara</t>
  </si>
  <si>
    <t xml:space="preserve">No transmiten la info, se obtienen corneas, huesos y tendones, LUCAS 2, SVB no presenciada por POLICIA LOCAL desde el comienzo , destima el 12 y va al Clínico. Las nefrólogas valoran conjuntamente el proceso y desetiman los riñones y presenta </t>
  </si>
  <si>
    <t>Relian, normotermia, 28.2ºC</t>
  </si>
  <si>
    <t xml:space="preserve">falta gasometria y en SUMMA ver si respirador </t>
  </si>
  <si>
    <t>SVB por proteccion dcivl a los 18 minuto, HTA de larga evolución en seguimiento por Nefrologia</t>
  </si>
  <si>
    <t>SVA POR UVI MOVIL,SE LES PARA EN LA CARA,TEP</t>
  </si>
  <si>
    <t>Fogarty</t>
  </si>
  <si>
    <t>SVB policia con DESA, no presenciada, 3 descargas a 250, fallece jugando al futbol, su madre tuvo una PCR súbita, no drogas, solicitud por parte de coordinador de enfermeria</t>
  </si>
  <si>
    <t>FIO2</t>
  </si>
  <si>
    <t>Relian, temperatura 32</t>
  </si>
  <si>
    <t>patologia infecciosa (Enf. Chagas)</t>
  </si>
  <si>
    <t>eNFERMEDAD DE CRHON, SE DESCONOCE QUE LE HAN PUESTO, SVB testigos en la calle, presenciada por SVB, JUZGADO CONSIDERA QUE NO ES JUDICIAL, shock cardiogénico</t>
  </si>
  <si>
    <t>Fogarty, hipotermia, 12.2</t>
  </si>
  <si>
    <t>UAD enfermeria y SAMUE, svb por compañeros de trabajo(presenciado)</t>
  </si>
  <si>
    <t>Fogarty. Hipotermia 18.2</t>
  </si>
  <si>
    <t>mala perfusio, tiempos prolongados</t>
  </si>
  <si>
    <t>SVB por TES(no presenciada por TES)</t>
  </si>
  <si>
    <t>Fogarty, hipotermia, temp 15</t>
  </si>
  <si>
    <t>SVB por personal del polideportivo,antecedente de familiares muerte subita</t>
  </si>
  <si>
    <t>SVB, socorrista y policia local(tardan 2 minutos en comenzar el svb)</t>
  </si>
  <si>
    <t>Fogarty, hipotermia, 25.8</t>
  </si>
  <si>
    <t>Ovario poliquistico en tto con anticonceptivos, SVB desde el primer momento por sanitarios presentes en el anduven, AESP, SOSEPCA DE tep, utiliza DESA no desfibrila</t>
  </si>
  <si>
    <t>SVB por policia(VECINO), 1 minuto tarda en llegar</t>
  </si>
  <si>
    <t>Fogarty,hipotermia, 18</t>
  </si>
  <si>
    <t>Hipotermia, Fogarty 15ºC</t>
  </si>
  <si>
    <t>SVB su hermana(PRESENCIADA), gripe A</t>
  </si>
  <si>
    <t>SVB por familiar, MÉDICO FORENSE DECIDE NO JUDIACILIZAR, FV primer ritmo, sulfato magnesio, tecneplasa</t>
  </si>
  <si>
    <t>PCR al equipo de SVA</t>
  </si>
  <si>
    <t>fogarty 24</t>
  </si>
  <si>
    <t>xxxx</t>
  </si>
  <si>
    <t>Fogarty, hipotermia, 22ºc</t>
  </si>
  <si>
    <t>Fogarty, hipotermia,no marca temperatura</t>
  </si>
  <si>
    <t>SVB por medico, se utiliza DEA, 1º ritmo FV</t>
  </si>
  <si>
    <t>Fogarty, hipotermia, 21.8</t>
  </si>
  <si>
    <t>SVB por policia , no presenciada, PRIMER RITMO FV, NO DEA</t>
  </si>
  <si>
    <t>No svb, PRIMER RITMO ASISTOLIA</t>
  </si>
  <si>
    <t>Se les para al SVA, ritmo a la llegada FA</t>
  </si>
  <si>
    <t>Hernia de Hiato, omeprazol,Toxoplasma IGG postivo, SVB familiares, mientras tomaba un café, asistolia</t>
  </si>
  <si>
    <t>Hipotermia 21.1</t>
  </si>
  <si>
    <t>Valorados riñón derecho e izquierdo. SVB realizado por su mujer, 18 minutos, no DEA</t>
  </si>
  <si>
    <t>Hta(3farmacos), DL (274 1 FARMACO),FA anticoauglada(sintorom) eco FEV conservada requirió CVE,apocard, obesidad, abalación de VVP en abril 2017, NO DEA</t>
  </si>
  <si>
    <t>6.80</t>
  </si>
  <si>
    <t>Hipotermia 18.7</t>
  </si>
  <si>
    <t>DL(sin fármacos), hachis,SVB por Cruz Roja, se les para en la cara, utiliza dea y no descarga</t>
  </si>
  <si>
    <t>Convulsion a la llegada PCR, FV fina primera, SVB realizada por su noviano dea</t>
  </si>
  <si>
    <t>hipotermia</t>
  </si>
  <si>
    <t>Autopulse, SVB Policia con dea y da varias descargas</t>
  </si>
  <si>
    <t>&lt;6.80</t>
  </si>
  <si>
    <t>hipotermia 8</t>
  </si>
  <si>
    <t xml:space="preserve"> WPW, TABACO, svb vecino, no dea</t>
  </si>
  <si>
    <t>hipotermia 20</t>
  </si>
  <si>
    <t>Presenciado,SVB, FV ritmo inicial, no dea</t>
  </si>
  <si>
    <t>hipotermia 9</t>
  </si>
  <si>
    <t>SVB hermano, HTA mal controlado, padre y hermano aneurisma aorta y iliacas, no dea</t>
  </si>
  <si>
    <t>hipotermiia 24.1</t>
  </si>
  <si>
    <t>No SVB, no DESA</t>
  </si>
  <si>
    <t>hipotermia, fogarty,  4</t>
  </si>
  <si>
    <t>hipotermia, fogarty, 26</t>
  </si>
  <si>
    <t>Extrahospitalaria manual, RITMO aesp, no dea</t>
  </si>
  <si>
    <t>fogarty, hipotermia , 18</t>
  </si>
  <si>
    <t>SVB por samur, ritmo FV, no dea</t>
  </si>
  <si>
    <t>hipotermia 27</t>
  </si>
  <si>
    <t>No hay SVA previo, ritmo inicial asistolia y posteriormente FV, no dea</t>
  </si>
  <si>
    <t>hipotermia, fogarty</t>
  </si>
  <si>
    <t xml:space="preserve">svb POR POLICIA, SE LES PARA EN LA CARA, desa uad </t>
  </si>
  <si>
    <t xml:space="preserve">hipotermia, fogarty, </t>
  </si>
  <si>
    <t>Esofago de Barret, SVB por policia y SEAPA,desa</t>
  </si>
  <si>
    <t>hipotermia, 25</t>
  </si>
  <si>
    <t>hipotermia, foargty 25</t>
  </si>
  <si>
    <t>hipotermia, fogarty 29</t>
  </si>
  <si>
    <t>hipot, fogarty, 24.4</t>
  </si>
  <si>
    <t>hipo,goga</t>
  </si>
  <si>
    <t>hipotermia, lemaitre, 23</t>
  </si>
  <si>
    <t>hipotermia, fogarty, 22</t>
  </si>
  <si>
    <t>DEA_UTILIZADO</t>
  </si>
  <si>
    <t>Deficiencia intelectual severa y retraso psicomotor desde el nacimiento, PCR presenciada, con SVB de vecinos, ritmo asistolia, se cultiva staph. Coagulasa, ngativa oxa-sensible, negativo plasmodium tanto el antigeno, como la gota gruesa y PCR, AP: Riñón de donante con signos de autolisis</t>
  </si>
  <si>
    <t>SVB testigso en la piscina, Utilizan desa y no descarga</t>
  </si>
  <si>
    <t>SVB por familiares</t>
  </si>
  <si>
    <t>SVB por testigos, RCP telefónica10 minutos. En la calle</t>
  </si>
  <si>
    <t>Poloquistosis renal</t>
  </si>
  <si>
    <t>DRB1 13, 16, LOCUS 1 01, 02,LOCURS B 07,15</t>
  </si>
  <si>
    <t>t ISQUEMIA FRIA 14 HORAS Y 45 MINUTOS</t>
  </si>
  <si>
    <t>Nefropatia IGA con proliferacion extracapilar</t>
  </si>
  <si>
    <t>Colección periinjerto</t>
  </si>
  <si>
    <t>DR:4DR:XDQ:DQ:LOCUS-B:40b:54 locus-1 :2a:24</t>
  </si>
  <si>
    <t>10 horas y 55 minutos</t>
  </si>
  <si>
    <t>Fiebre de orgen desconocid</t>
  </si>
  <si>
    <t>HLA(DR1,B64,B27,130,131)</t>
  </si>
  <si>
    <t>18 HORAS Y 30 MINUTOS, RIÑÓN DERECHO</t>
  </si>
  <si>
    <t>ERC secundaria a nefroangioesclesotis o NIC(asociada a antibioticos)</t>
  </si>
  <si>
    <t>1A,1B Y 1DR</t>
  </si>
  <si>
    <t>17 HORAS Y 10 MINUOTS</t>
  </si>
  <si>
    <t>Diarrea, Clostridium Diffile</t>
  </si>
  <si>
    <t>IRC GN IGA</t>
  </si>
  <si>
    <t xml:space="preserve">19 horas y 55 minutos </t>
  </si>
  <si>
    <t>ERC secundaria a vasculitis</t>
  </si>
  <si>
    <t>RIÑOZ IZQU</t>
  </si>
  <si>
    <t>Neumonia</t>
  </si>
  <si>
    <t>10 horas de isquemia fria</t>
  </si>
  <si>
    <t>HLA(1A,2B,2DR)</t>
  </si>
  <si>
    <t>21 horas de isquemia fria</t>
  </si>
  <si>
    <t>GMN crónica</t>
  </si>
  <si>
    <t>HLA(2DR,2DQ,2A,2B)</t>
  </si>
  <si>
    <t>18 HORAS</t>
  </si>
  <si>
    <t>hematoma en lecho quirugico</t>
  </si>
  <si>
    <t>ERC  secundaria a NIC e hiperfiltracion</t>
  </si>
  <si>
    <t>14 horas</t>
  </si>
  <si>
    <t>Nefropatia diabetica01/2017</t>
  </si>
  <si>
    <t>14 horasy 5 mnutos</t>
  </si>
  <si>
    <t>Colección el lecho quirugic</t>
  </si>
  <si>
    <t>Nefritis tubulointersticial y AINES</t>
  </si>
  <si>
    <t>iNFECCION DEL LECHO QUIRUGICO</t>
  </si>
  <si>
    <t>Colección periinjerto, deshicencia herida quirugica</t>
  </si>
  <si>
    <t>Entrada en bomba con circulacion no efectiva</t>
  </si>
  <si>
    <t>iMPOSIBLE DE CANULAR</t>
  </si>
  <si>
    <t>&lt;6.8</t>
  </si>
  <si>
    <t>Imposible de canular</t>
  </si>
  <si>
    <t xml:space="preserve">HTA, DM, </t>
  </si>
  <si>
    <t>Antecedentes de anorexia, bulimia, alcohol, tto con deprax, ketiapina, muerte subita, DOMICILIO, RCP POR MARIDO</t>
  </si>
  <si>
    <t>ANTECEDEPENDE DE CARDIOPATIA ISQUEMIA, hTA, EXFUMADOR, HOY SE HA REALIZADO UNA PRUEBA DE ESFUERZO QUE HA SIDO NEGATIVA, RCP BASICA POR POLICIA, SE LO ENCUENTRAN EN UN , CALLEBANCO EN LA CALLE</t>
  </si>
  <si>
    <t>Flujo nsuficiente de bomba</t>
  </si>
  <si>
    <t>Negativa familiar, bebedor excesido  de alcohol, fumador, hepatopaia cronica, domicilio, svb por vecino</t>
  </si>
  <si>
    <t>Negativa familiar</t>
  </si>
  <si>
    <t>negativa familiar</t>
  </si>
  <si>
    <t>Domiliciliom negativa familiar, ha estado ese dia en el centro de slaud por dolor cervical y mareo giro de ojetos, familiares</t>
  </si>
  <si>
    <t>TIEMPO_LLEGADA_HOSPITAL_INICIO_SVA_MIN</t>
  </si>
  <si>
    <t>TIEMPO_LLEGADA_INICIO_PCR_MIN</t>
  </si>
  <si>
    <t>DF</t>
  </si>
  <si>
    <t>RECUPERACION_ALGUN_MOMENTO</t>
  </si>
  <si>
    <t>OTROS_ORGANOS</t>
  </si>
  <si>
    <t>VARICELA</t>
  </si>
  <si>
    <t>TUBO_IOT_N</t>
  </si>
  <si>
    <t>MODO_VENTILACION</t>
  </si>
  <si>
    <t>1</t>
  </si>
  <si>
    <t>SVB_REALIZADO_POR</t>
  </si>
  <si>
    <t xml:space="preserve">PRIMER_RITMO </t>
  </si>
  <si>
    <t xml:space="preserve">BICARBONATO </t>
  </si>
  <si>
    <t>SUFALTO_MAGNESIO</t>
  </si>
  <si>
    <t>SRI</t>
  </si>
  <si>
    <t xml:space="preserve">FIBRINOLITICO </t>
  </si>
  <si>
    <t>AAS</t>
  </si>
  <si>
    <t>HEMOLIZADA</t>
  </si>
  <si>
    <t>MOTIVO_LLAMADA</t>
  </si>
  <si>
    <t>LUGAR_PARADA</t>
  </si>
  <si>
    <t>DIABETES</t>
  </si>
  <si>
    <t>TABACO</t>
  </si>
  <si>
    <t>COLESTEROL</t>
  </si>
  <si>
    <t>ISQUEMIA_CALIENTE</t>
  </si>
  <si>
    <t>HORA_CLAMPAJE</t>
  </si>
  <si>
    <t>ISQUEMIA_FRIA_IZQ</t>
  </si>
  <si>
    <t>ISQUEMIA_FRIA_DERCH</t>
  </si>
  <si>
    <t>CAPNOMETRIA_INICIO</t>
  </si>
  <si>
    <t>CAPNOMETRIA_MEDIO</t>
  </si>
  <si>
    <t>CAPNOMETRIA_TRANSFERENCIA</t>
  </si>
  <si>
    <t>PULMON_IZQUIERDO_DONABLE</t>
  </si>
  <si>
    <t>MOTIV_NO_DONACION_PULMON_IZQ.</t>
  </si>
  <si>
    <t>PULMON_DERECHO_DONABLE</t>
  </si>
  <si>
    <t>MOTIVO_NO_DONACION_PULMON_DCHO.</t>
  </si>
  <si>
    <t>HIGADO_DONABLE</t>
  </si>
  <si>
    <t>MOTIVO_NO_DONACION_HÍGADO</t>
  </si>
  <si>
    <t>MOTIVO_NO_DONACION_RIÑÓN_IZQUIERDO</t>
  </si>
  <si>
    <t>RIÑON_DERECHO_DONABLE</t>
  </si>
  <si>
    <t>MOTIVO_NO_DONACION_RIÑON_DERECHO</t>
  </si>
  <si>
    <t>CANULACION</t>
  </si>
  <si>
    <t>PAIS_NACIMIENTO</t>
  </si>
  <si>
    <t>CCAA_RESIDENCIA</t>
  </si>
  <si>
    <t>EPSTEIN_BARR</t>
  </si>
  <si>
    <t>CREATININA_LLEGADA_HOSPITAL</t>
  </si>
  <si>
    <t>CREATININA_DONANTE_PREVIA</t>
  </si>
  <si>
    <t>GLUCEMIA_PCR</t>
  </si>
  <si>
    <t>GLUCEMIA_LLEGADA_HOSPITAL</t>
  </si>
  <si>
    <t>ADRENALINA_N</t>
  </si>
  <si>
    <t>AMIODARONA_N</t>
  </si>
  <si>
    <t>SALINO_ml</t>
  </si>
  <si>
    <t>OTROS_FARMACOS</t>
  </si>
  <si>
    <t>ECO_FEVI</t>
  </si>
  <si>
    <t xml:space="preserve">VENTILACION_TIPO </t>
  </si>
  <si>
    <t>TIPO_IOT</t>
  </si>
  <si>
    <t>VOLUMEN_TIDAL</t>
  </si>
  <si>
    <t>PH</t>
  </si>
  <si>
    <t>PACO2</t>
  </si>
  <si>
    <t>EXCESOS_BASES</t>
  </si>
  <si>
    <t>LACTICO</t>
  </si>
  <si>
    <t>NA</t>
  </si>
  <si>
    <t>CL</t>
  </si>
  <si>
    <t>PRESERVACION</t>
  </si>
  <si>
    <t>CONSULTA_VOLUNTADES</t>
  </si>
  <si>
    <t xml:space="preserve">ENTREVISTA_DONACION </t>
  </si>
  <si>
    <t xml:space="preserve">CONSENTIMIENTO </t>
  </si>
  <si>
    <t>AUTOR_JUDICIAL</t>
  </si>
  <si>
    <t xml:space="preserve">UNIDAD </t>
  </si>
  <si>
    <t>COMUNICACIÓN_MUERTE_EXTRAH</t>
  </si>
  <si>
    <t>COMENTARIO_DONACION_EXTRAH</t>
  </si>
  <si>
    <t>ENTREVISTA_DONACION_EXTRAHOSPITALARIA</t>
  </si>
  <si>
    <t>PRESENCIA_PSICOLOGO</t>
  </si>
  <si>
    <t>N_INTERLOCUTORES</t>
  </si>
  <si>
    <t>N_TOTAL_ENTREVISTA</t>
  </si>
  <si>
    <t>ACTITUD_PERCIBIDA</t>
  </si>
  <si>
    <t>Dif_1Y2_ENTREVISTA</t>
  </si>
  <si>
    <t xml:space="preserve">NIVEL_SOCIOCULTURAL </t>
  </si>
  <si>
    <t>DATOS_VOLUNTAD_FALLECIDO</t>
  </si>
  <si>
    <t>RESULTADO</t>
  </si>
  <si>
    <t>LIMITACION_EXTRACCION</t>
  </si>
  <si>
    <t>DESEO_FAMILIA</t>
  </si>
  <si>
    <t>SOLICITUD</t>
  </si>
  <si>
    <t xml:space="preserve">CAUSA_NO_DONACION </t>
  </si>
  <si>
    <t>0=H_CLINICO_SAN_CARLOS</t>
  </si>
  <si>
    <t>1=HH_12_DE_OCTUBRE</t>
  </si>
  <si>
    <t>TRASLADO_HELICOPTERO</t>
  </si>
  <si>
    <t>2=SVA</t>
  </si>
  <si>
    <t>0=TESTIGO_NO_FORMACION</t>
  </si>
  <si>
    <t>1=TES</t>
  </si>
  <si>
    <t>2=PAREJA</t>
  </si>
  <si>
    <t>3=POLICIA_BOMBERO</t>
  </si>
  <si>
    <t>4=UAD_SVAE</t>
  </si>
  <si>
    <t>5=TESTIGO_SANITARIO</t>
  </si>
  <si>
    <t>6=OTROS</t>
  </si>
  <si>
    <t>0=EDEMA</t>
  </si>
  <si>
    <t>1=LOGISTICA</t>
  </si>
  <si>
    <t>2=SANGRE_TETE</t>
  </si>
  <si>
    <t>3=ANTECEDENTES</t>
  </si>
  <si>
    <t>4=TEP</t>
  </si>
  <si>
    <t>5=OTROS</t>
  </si>
  <si>
    <t>MOTIVO_NO_DONACION_PULMON_DERECHO</t>
  </si>
  <si>
    <t>MOTIVO_NO_DONACION_HIGADO</t>
  </si>
  <si>
    <t>0=ALT_ANALITICA</t>
  </si>
  <si>
    <t>1=DA</t>
  </si>
  <si>
    <t>2=ASPECT_MACROSC</t>
  </si>
  <si>
    <t>3=INFECCIOSA</t>
  </si>
  <si>
    <t>4=OTROS</t>
  </si>
  <si>
    <t>MOTIVO_NO_DONACION_RIÑON_IZQ</t>
  </si>
  <si>
    <t>0=MALA_PERFUSION</t>
  </si>
  <si>
    <t>1=ISQU_CALIENTE</t>
  </si>
  <si>
    <t>2=TROMBOSIS</t>
  </si>
  <si>
    <t>3=DISECCION_MALFOR</t>
  </si>
  <si>
    <t>4=INFECCIOSA</t>
  </si>
  <si>
    <t>MOTIVO_NO_DONACION_RIÑON_DEREC</t>
  </si>
  <si>
    <t>0=TEJ_OCULAR</t>
  </si>
  <si>
    <t>1=TEJ_OSEO</t>
  </si>
  <si>
    <t>2=AMBOS</t>
  </si>
  <si>
    <t>3=NINGUNO</t>
  </si>
  <si>
    <t>0=FACIL</t>
  </si>
  <si>
    <t>1=DIFICIL</t>
  </si>
  <si>
    <t>PRIMER_RITMO</t>
  </si>
  <si>
    <t>0=ASISTOLIA</t>
  </si>
  <si>
    <t>1=AESP</t>
  </si>
  <si>
    <t>2=TVSP</t>
  </si>
  <si>
    <t>3=FV</t>
  </si>
  <si>
    <t>VENTILACION</t>
  </si>
  <si>
    <t>0=MANUAL</t>
  </si>
  <si>
    <t>1=MECANICA</t>
  </si>
  <si>
    <t>TIPO IOT</t>
  </si>
  <si>
    <t>0=LARINGOSC</t>
  </si>
  <si>
    <t>1=FASTRACK</t>
  </si>
  <si>
    <t>2=FROVA</t>
  </si>
  <si>
    <t>3=MASCARILLA</t>
  </si>
  <si>
    <t>0=SIMV</t>
  </si>
  <si>
    <t>1=IPPV</t>
  </si>
  <si>
    <t>COMUNICACIÓN</t>
  </si>
  <si>
    <t>0=N0</t>
  </si>
  <si>
    <t>2=DESCONOCID</t>
  </si>
  <si>
    <t>UCI_CUIDADOS_DONACION</t>
  </si>
  <si>
    <t>ENTREVISTA_DONACION</t>
  </si>
  <si>
    <t>2=DESCONOCIDO</t>
  </si>
  <si>
    <t>AUTORIZACION_JUDCI</t>
  </si>
  <si>
    <t>Unidad</t>
  </si>
  <si>
    <t>3=OTRAS</t>
  </si>
  <si>
    <t>4=REANIMACION</t>
  </si>
  <si>
    <t>COMENTARIO_DONACION_EXTRAHOSPITALARIA</t>
  </si>
  <si>
    <t>Actitud_percibida</t>
  </si>
  <si>
    <t>0=RECEPTIVIDAD</t>
  </si>
  <si>
    <t>1=NO_RECEPTIVA</t>
  </si>
  <si>
    <t>2=INCERTIDUMBRE</t>
  </si>
  <si>
    <t>3=AGRESIVIDAD</t>
  </si>
  <si>
    <t>Nivel_sociocultural</t>
  </si>
  <si>
    <t>0=BAJ0</t>
  </si>
  <si>
    <t>1=MEDIO</t>
  </si>
  <si>
    <t>2=ALTO</t>
  </si>
  <si>
    <t>DATOS_VOLUNTAD</t>
  </si>
  <si>
    <t>0=FAVORABLE_DONACION</t>
  </si>
  <si>
    <t>1=NO_OPOSICION</t>
  </si>
  <si>
    <t>3=CONTRARIO</t>
  </si>
  <si>
    <t>4=ACEPTACION_TRAS_INFO</t>
  </si>
  <si>
    <t>5=MANTENER_INTEGRIDAD/RELIG</t>
  </si>
  <si>
    <t>0=ASENTAMIENTO_FAMILIAR</t>
  </si>
  <si>
    <t>DESEO_FAMIILIA-INFO</t>
  </si>
  <si>
    <t>0=PAREJA</t>
  </si>
  <si>
    <t>1=PADRE</t>
  </si>
  <si>
    <t>2=MADRE</t>
  </si>
  <si>
    <t>3=HIJO</t>
  </si>
  <si>
    <t>4=HERMANO</t>
  </si>
  <si>
    <t>f</t>
  </si>
  <si>
    <t>ERC Eetiologia desconocida</t>
  </si>
  <si>
    <t>Granulomatosis de Wegener</t>
  </si>
  <si>
    <t>1=POLITRAUMA</t>
  </si>
  <si>
    <t>HIGADO</t>
  </si>
  <si>
    <t>Motivos no donación, donacion en asistolia, PONE EN PULMON E HIGADO OTROS</t>
  </si>
  <si>
    <t>HTA, un fármaco, enalapril y para la diabetes dieta</t>
  </si>
  <si>
    <t xml:space="preserve">Higado, alteracion del organo y riñon derecho tiempo de izquemia( seccion arterial y aspecto macroscopico. </t>
  </si>
  <si>
    <t>Antecedente d higado graso</t>
  </si>
  <si>
    <t>A1, B35, DRB1 07</t>
  </si>
  <si>
    <t>A03, B18, DRB1:11</t>
  </si>
  <si>
    <t>A02, B 08, DRB1: 07</t>
  </si>
  <si>
    <t>Pielonefritis, infecciones urinarias, proteinuria positiva en 2017 que luego desaparece</t>
  </si>
  <si>
    <t>No donacion, alteracion analitica del higado y otras riñon. Riñón derecho e izquierdo, trombosis infatos renal, antec. Gluconato calcico</t>
  </si>
  <si>
    <t>No donacion, donacion en asistolia, HIGADO CIROSIIS, RIÑON DEREHCO E IZQUIERDO MALA PERFUSION. nO PERFUSION CORRECTA, flumazenilo , Rx de torac patologica, no coger pulmones por eso, no se coger corneas ni oseo</t>
  </si>
  <si>
    <t>Han hecho crico, antecedentes de Enheles Dalos</t>
  </si>
  <si>
    <t>Higado aspecto isquémico, riñones mala perfusion. Perfusion no correcta y no corregida en blanco, higado enzimas elevada</t>
  </si>
  <si>
    <t>CALCIO_2</t>
  </si>
  <si>
    <t>NOTAS_1</t>
  </si>
  <si>
    <t>Coment_1</t>
  </si>
  <si>
    <t>Coment_2</t>
  </si>
  <si>
    <t>PATOLOGIA_PULMONAR</t>
  </si>
  <si>
    <t>HERPES_1_2_IGG</t>
  </si>
  <si>
    <t>SARS_COV2</t>
  </si>
  <si>
    <t>PH_INICIO_PRESERVACION</t>
  </si>
  <si>
    <t>ECOLE - Reflujo vesicuutreteral</t>
  </si>
  <si>
    <t>Negativa_familiar</t>
  </si>
  <si>
    <t>EDAD_familiar</t>
  </si>
  <si>
    <t>OTRO_FARMACO</t>
  </si>
  <si>
    <t>1=S8</t>
  </si>
  <si>
    <t>0=&lt;7</t>
  </si>
  <si>
    <t>1=&gt;7</t>
  </si>
  <si>
    <t>0=1.5</t>
  </si>
  <si>
    <t>1=2</t>
  </si>
  <si>
    <t>0</t>
  </si>
  <si>
    <t>19.3</t>
  </si>
  <si>
    <t>22.3</t>
  </si>
  <si>
    <t>19.5</t>
  </si>
  <si>
    <t>21.3</t>
  </si>
  <si>
    <t>19.8</t>
  </si>
  <si>
    <t>18.3</t>
  </si>
  <si>
    <t>23.8</t>
  </si>
  <si>
    <t>17.8</t>
  </si>
  <si>
    <t>10.7</t>
  </si>
  <si>
    <t>9.9</t>
  </si>
  <si>
    <t>8.3</t>
  </si>
  <si>
    <t>10.9</t>
  </si>
  <si>
    <t>8.9</t>
  </si>
  <si>
    <t>10.8</t>
  </si>
  <si>
    <t>9.3</t>
  </si>
  <si>
    <t>7.9</t>
  </si>
  <si>
    <t>11.4</t>
  </si>
  <si>
    <t>6.2</t>
  </si>
  <si>
    <t>11.2</t>
  </si>
  <si>
    <t>9.49</t>
  </si>
  <si>
    <t>Estos últimos son del 2023, por lo que desconocemos la superviviencia al año.</t>
  </si>
  <si>
    <t>17/!1/79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</si>
</sst>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dd/mm/yyyy\ h:mm"/>
  </numFmts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D4D4D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rgb="FF00008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80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00008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8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E5E5E5"/>
      </left>
      <right style="thin">
        <color rgb="FFE5E5E5"/>
      </right>
      <top/>
      <bottom style="thin">
        <color rgb="FFE5E5E5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7292CC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D3D3D3"/>
      </top>
      <bottom style="thin">
        <color auto="1"/>
      </bottom>
      <diagonal/>
    </border>
    <border>
      <left style="thin">
        <color rgb="FF7292CC"/>
      </left>
      <right style="thin">
        <color rgb="FF7292CC"/>
      </right>
      <top style="thin">
        <color rgb="FF7292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3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4" fillId="0" borderId="0" xfId="0" applyFont="1"/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7" fillId="0" borderId="0" xfId="0" applyFont="1"/>
    <xf numFmtId="1" fontId="7" fillId="0" borderId="0" xfId="0" applyNumberFormat="1" applyFont="1"/>
    <xf numFmtId="0" fontId="0" fillId="5" borderId="0" xfId="0" applyFill="1"/>
    <xf numFmtId="49" fontId="7" fillId="0" borderId="0" xfId="0" applyNumberFormat="1" applyFont="1"/>
    <xf numFmtId="0" fontId="6" fillId="0" borderId="0" xfId="0" applyFont="1"/>
    <xf numFmtId="0" fontId="0" fillId="2" borderId="7" xfId="0" applyFill="1" applyBorder="1" applyAlignment="1">
      <alignment horizontal="center" wrapText="1"/>
    </xf>
    <xf numFmtId="0" fontId="1" fillId="0" borderId="0" xfId="0" applyFont="1"/>
    <xf numFmtId="0" fontId="8" fillId="0" borderId="0" xfId="0" applyFont="1"/>
    <xf numFmtId="1" fontId="1" fillId="0" borderId="0" xfId="0" applyNumberFormat="1" applyFont="1"/>
    <xf numFmtId="49" fontId="1" fillId="0" borderId="0" xfId="0" applyNumberFormat="1" applyFont="1"/>
    <xf numFmtId="1" fontId="8" fillId="0" borderId="0" xfId="0" applyNumberFormat="1" applyFont="1"/>
    <xf numFmtId="20" fontId="1" fillId="0" borderId="0" xfId="0" applyNumberFormat="1" applyFont="1"/>
    <xf numFmtId="0" fontId="1" fillId="0" borderId="2" xfId="0" applyFont="1" applyBorder="1"/>
    <xf numFmtId="1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 readingOrder="1"/>
    </xf>
    <xf numFmtId="1" fontId="11" fillId="0" borderId="0" xfId="0" applyNumberFormat="1" applyFont="1" applyAlignment="1">
      <alignment wrapText="1" readingOrder="1"/>
    </xf>
    <xf numFmtId="0" fontId="11" fillId="0" borderId="0" xfId="0" applyFont="1" applyAlignment="1">
      <alignment wrapText="1" readingOrder="1"/>
    </xf>
    <xf numFmtId="1" fontId="11" fillId="0" borderId="2" xfId="0" applyNumberFormat="1" applyFont="1" applyBorder="1" applyAlignment="1">
      <alignment wrapText="1" readingOrder="1"/>
    </xf>
    <xf numFmtId="0" fontId="11" fillId="0" borderId="2" xfId="0" applyFont="1" applyBorder="1" applyAlignment="1">
      <alignment wrapText="1" readingOrder="1"/>
    </xf>
    <xf numFmtId="0" fontId="8" fillId="0" borderId="3" xfId="0" applyFont="1" applyBorder="1" applyAlignment="1">
      <alignment wrapText="1"/>
    </xf>
    <xf numFmtId="0" fontId="8" fillId="0" borderId="3" xfId="0" applyFont="1" applyBorder="1" applyAlignment="1">
      <alignment wrapText="1" readingOrder="1"/>
    </xf>
    <xf numFmtId="0" fontId="8" fillId="0" borderId="0" xfId="0" applyFont="1" applyAlignment="1">
      <alignment wrapText="1" readingOrder="1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wrapText="1" readingOrder="1"/>
    </xf>
    <xf numFmtId="14" fontId="11" fillId="0" borderId="2" xfId="0" applyNumberFormat="1" applyFont="1" applyBorder="1" applyAlignment="1">
      <alignment wrapText="1" readingOrder="1"/>
    </xf>
    <xf numFmtId="14" fontId="11" fillId="0" borderId="0" xfId="0" applyNumberFormat="1" applyFont="1" applyAlignment="1">
      <alignment wrapText="1" readingOrder="1"/>
    </xf>
    <xf numFmtId="0" fontId="11" fillId="0" borderId="4" xfId="0" applyFont="1" applyBorder="1" applyAlignment="1">
      <alignment wrapText="1" readingOrder="1"/>
    </xf>
    <xf numFmtId="0" fontId="8" fillId="0" borderId="6" xfId="0" applyFont="1" applyBorder="1" applyAlignment="1">
      <alignment wrapText="1"/>
    </xf>
    <xf numFmtId="0" fontId="8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14" fontId="1" fillId="0" borderId="0" xfId="0" applyNumberFormat="1" applyFont="1" applyAlignment="1">
      <alignment wrapText="1"/>
    </xf>
    <xf numFmtId="22" fontId="13" fillId="0" borderId="0" xfId="0" applyNumberFormat="1" applyFont="1" applyAlignment="1">
      <alignment wrapText="1"/>
    </xf>
    <xf numFmtId="164" fontId="13" fillId="0" borderId="0" xfId="0" applyNumberFormat="1" applyFont="1" applyAlignment="1">
      <alignment wrapText="1" readingOrder="1"/>
    </xf>
    <xf numFmtId="164" fontId="13" fillId="0" borderId="2" xfId="0" applyNumberFormat="1" applyFont="1" applyBorder="1" applyAlignment="1">
      <alignment wrapText="1" readingOrder="1"/>
    </xf>
    <xf numFmtId="1" fontId="13" fillId="0" borderId="0" xfId="0" applyNumberFormat="1" applyFont="1" applyAlignment="1">
      <alignment wrapText="1"/>
    </xf>
    <xf numFmtId="1" fontId="13" fillId="0" borderId="0" xfId="0" applyNumberFormat="1" applyFont="1" applyAlignment="1">
      <alignment wrapText="1" readingOrder="1"/>
    </xf>
    <xf numFmtId="1" fontId="13" fillId="0" borderId="2" xfId="0" applyNumberFormat="1" applyFont="1" applyBorder="1" applyAlignment="1">
      <alignment wrapText="1" readingOrder="1"/>
    </xf>
    <xf numFmtId="0" fontId="13" fillId="0" borderId="0" xfId="0" applyFont="1" applyAlignment="1">
      <alignment wrapText="1"/>
    </xf>
    <xf numFmtId="0" fontId="13" fillId="0" borderId="0" xfId="0" applyFont="1"/>
    <xf numFmtId="0" fontId="13" fillId="0" borderId="2" xfId="0" applyFont="1" applyBorder="1" applyAlignment="1">
      <alignment wrapText="1" readingOrder="1"/>
    </xf>
    <xf numFmtId="20" fontId="13" fillId="0" borderId="0" xfId="0" applyNumberFormat="1" applyFont="1"/>
    <xf numFmtId="22" fontId="13" fillId="0" borderId="2" xfId="0" applyNumberFormat="1" applyFont="1" applyBorder="1" applyAlignment="1">
      <alignment wrapText="1" readingOrder="1"/>
    </xf>
    <xf numFmtId="22" fontId="13" fillId="0" borderId="0" xfId="0" applyNumberFormat="1" applyFont="1"/>
    <xf numFmtId="0" fontId="1" fillId="0" borderId="0" xfId="0" applyFont="1" applyAlignment="1">
      <alignment horizontal="right"/>
    </xf>
    <xf numFmtId="0" fontId="9" fillId="7" borderId="0" xfId="0" applyFont="1" applyFill="1" applyAlignment="1">
      <alignment horizontal="center" vertical="center" wrapText="1"/>
    </xf>
    <xf numFmtId="4" fontId="1" fillId="0" borderId="0" xfId="0" applyNumberFormat="1" applyFont="1"/>
    <xf numFmtId="0" fontId="11" fillId="0" borderId="0" xfId="0" applyFont="1" applyAlignment="1">
      <alignment readingOrder="1"/>
    </xf>
    <xf numFmtId="0" fontId="11" fillId="0" borderId="2" xfId="0" applyFont="1" applyBorder="1" applyAlignment="1">
      <alignment readingOrder="1"/>
    </xf>
    <xf numFmtId="0" fontId="12" fillId="0" borderId="2" xfId="0" applyFont="1" applyBorder="1" applyAlignment="1">
      <alignment readingOrder="1"/>
    </xf>
    <xf numFmtId="0" fontId="9" fillId="8" borderId="9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1" fontId="9" fillId="8" borderId="9" xfId="0" applyNumberFormat="1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 readingOrder="1"/>
    </xf>
    <xf numFmtId="0" fontId="9" fillId="8" borderId="10" xfId="0" applyFont="1" applyFill="1" applyBorder="1" applyAlignment="1">
      <alignment horizontal="center" vertical="center" wrapText="1" readingOrder="1"/>
    </xf>
    <xf numFmtId="0" fontId="15" fillId="0" borderId="0" xfId="0" applyFont="1"/>
    <xf numFmtId="0" fontId="5" fillId="3" borderId="1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wrapText="1"/>
    </xf>
    <xf numFmtId="22" fontId="14" fillId="0" borderId="1" xfId="0" applyNumberFormat="1" applyFont="1" applyBorder="1" applyAlignment="1">
      <alignment vertical="center"/>
    </xf>
    <xf numFmtId="14" fontId="14" fillId="0" borderId="1" xfId="0" applyNumberFormat="1" applyFont="1" applyBorder="1" applyAlignment="1">
      <alignment horizontal="right" vertical="center"/>
    </xf>
    <xf numFmtId="1" fontId="14" fillId="0" borderId="1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right" vertical="center" readingOrder="1"/>
    </xf>
    <xf numFmtId="0" fontId="14" fillId="0" borderId="1" xfId="0" applyFont="1" applyBorder="1" applyAlignment="1">
      <alignment horizontal="left" vertical="center" readingOrder="1"/>
    </xf>
    <xf numFmtId="0" fontId="14" fillId="0" borderId="1" xfId="0" applyFont="1" applyBorder="1"/>
    <xf numFmtId="14" fontId="14" fillId="0" borderId="1" xfId="0" applyNumberFormat="1" applyFont="1" applyBorder="1"/>
    <xf numFmtId="0" fontId="14" fillId="0" borderId="1" xfId="0" applyFont="1" applyBorder="1" applyAlignment="1">
      <alignment vertical="center" readingOrder="1"/>
    </xf>
    <xf numFmtId="14" fontId="14" fillId="0" borderId="1" xfId="0" applyNumberFormat="1" applyFont="1" applyBorder="1" applyAlignment="1">
      <alignment vertical="center" readingOrder="1"/>
    </xf>
    <xf numFmtId="22" fontId="14" fillId="0" borderId="1" xfId="0" applyNumberFormat="1" applyFont="1" applyBorder="1" applyAlignment="1">
      <alignment horizontal="left" vertical="center"/>
    </xf>
    <xf numFmtId="164" fontId="14" fillId="0" borderId="1" xfId="0" applyNumberFormat="1" applyFont="1" applyBorder="1" applyAlignment="1">
      <alignment vertical="center" readingOrder="1"/>
    </xf>
    <xf numFmtId="0" fontId="14" fillId="6" borderId="1" xfId="0" applyFont="1" applyFill="1" applyBorder="1" applyAlignment="1">
      <alignment vertical="center"/>
    </xf>
    <xf numFmtId="0" fontId="9" fillId="5" borderId="8" xfId="0" applyFont="1" applyFill="1" applyBorder="1" applyAlignment="1">
      <alignment horizontal="center" vertical="center" wrapText="1"/>
    </xf>
    <xf numFmtId="1" fontId="1" fillId="5" borderId="0" xfId="0" applyNumberFormat="1" applyFont="1" applyFill="1"/>
    <xf numFmtId="14" fontId="1" fillId="5" borderId="0" xfId="0" applyNumberFormat="1" applyFont="1" applyFill="1"/>
    <xf numFmtId="0" fontId="1" fillId="5" borderId="0" xfId="0" applyFont="1" applyFill="1"/>
    <xf numFmtId="2" fontId="1" fillId="5" borderId="0" xfId="0" applyNumberFormat="1" applyFont="1" applyFill="1" applyAlignment="1">
      <alignment wrapText="1"/>
    </xf>
    <xf numFmtId="164" fontId="13" fillId="5" borderId="2" xfId="0" applyNumberFormat="1" applyFont="1" applyFill="1" applyBorder="1" applyAlignment="1">
      <alignment wrapText="1" readingOrder="1"/>
    </xf>
    <xf numFmtId="1" fontId="13" fillId="5" borderId="0" xfId="0" applyNumberFormat="1" applyFont="1" applyFill="1" applyAlignment="1">
      <alignment wrapText="1"/>
    </xf>
    <xf numFmtId="1" fontId="13" fillId="5" borderId="0" xfId="0" applyNumberFormat="1" applyFont="1" applyFill="1"/>
    <xf numFmtId="0" fontId="8" fillId="5" borderId="0" xfId="0" applyFont="1" applyFill="1"/>
    <xf numFmtId="22" fontId="13" fillId="5" borderId="0" xfId="0" applyNumberFormat="1" applyFont="1" applyFill="1"/>
    <xf numFmtId="0" fontId="13" fillId="5" borderId="0" xfId="0" applyFont="1" applyFill="1"/>
    <xf numFmtId="49" fontId="1" fillId="5" borderId="0" xfId="0" applyNumberFormat="1" applyFont="1" applyFill="1"/>
    <xf numFmtId="0" fontId="9" fillId="10" borderId="10" xfId="0" applyFont="1" applyFill="1" applyBorder="1" applyAlignment="1">
      <alignment horizontal="center" vertical="center" wrapText="1" readingOrder="1"/>
    </xf>
    <xf numFmtId="0" fontId="9" fillId="10" borderId="8" xfId="0" applyFont="1" applyFill="1" applyBorder="1" applyAlignment="1">
      <alignment horizontal="center" vertical="center" wrapText="1" readingOrder="1"/>
    </xf>
    <xf numFmtId="49" fontId="9" fillId="5" borderId="8" xfId="0" applyNumberFormat="1" applyFont="1" applyFill="1" applyBorder="1" applyAlignment="1">
      <alignment horizontal="center" vertical="center" wrapText="1"/>
    </xf>
    <xf numFmtId="0" fontId="1" fillId="11" borderId="0" xfId="0" applyFont="1" applyFill="1" applyAlignment="1">
      <alignment wrapText="1"/>
    </xf>
    <xf numFmtId="0" fontId="1" fillId="11" borderId="0" xfId="0" applyFont="1" applyFill="1"/>
    <xf numFmtId="0" fontId="11" fillId="11" borderId="0" xfId="0" applyFont="1" applyFill="1" applyAlignment="1">
      <alignment wrapText="1" readingOrder="1"/>
    </xf>
    <xf numFmtId="0" fontId="11" fillId="11" borderId="2" xfId="0" applyFont="1" applyFill="1" applyBorder="1" applyAlignment="1">
      <alignment wrapText="1" readingOrder="1"/>
    </xf>
    <xf numFmtId="0" fontId="1" fillId="11" borderId="2" xfId="0" applyFont="1" applyFill="1" applyBorder="1"/>
    <xf numFmtId="1" fontId="11" fillId="11" borderId="2" xfId="0" applyNumberFormat="1" applyFont="1" applyFill="1" applyBorder="1" applyAlignment="1">
      <alignment wrapText="1" readingOrder="1"/>
    </xf>
    <xf numFmtId="0" fontId="8" fillId="11" borderId="0" xfId="0" applyFont="1" applyFill="1"/>
    <xf numFmtId="22" fontId="8" fillId="11" borderId="0" xfId="0" applyNumberFormat="1" applyFont="1" applyFill="1"/>
    <xf numFmtId="0" fontId="9" fillId="11" borderId="8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wrapText="1" readingOrder="1"/>
    </xf>
    <xf numFmtId="0" fontId="8" fillId="11" borderId="0" xfId="0" applyFont="1" applyFill="1" applyAlignment="1">
      <alignment wrapText="1" readingOrder="1"/>
    </xf>
    <xf numFmtId="0" fontId="8" fillId="11" borderId="0" xfId="0" applyFont="1" applyFill="1" applyAlignment="1">
      <alignment wrapText="1"/>
    </xf>
    <xf numFmtId="0" fontId="8" fillId="11" borderId="3" xfId="0" applyFont="1" applyFill="1" applyBorder="1" applyAlignment="1">
      <alignment wrapText="1" readingOrder="1"/>
    </xf>
    <xf numFmtId="0" fontId="1" fillId="11" borderId="0" xfId="0" applyFont="1" applyFill="1" applyAlignment="1">
      <alignment wrapText="1" readingOrder="1"/>
    </xf>
    <xf numFmtId="0" fontId="8" fillId="11" borderId="6" xfId="0" applyFont="1" applyFill="1" applyBorder="1" applyAlignment="1">
      <alignment wrapText="1"/>
    </xf>
    <xf numFmtId="0" fontId="13" fillId="11" borderId="0" xfId="0" applyFont="1" applyFill="1"/>
    <xf numFmtId="0" fontId="14" fillId="11" borderId="1" xfId="0" applyFont="1" applyFill="1" applyBorder="1" applyAlignment="1">
      <alignment horizontal="right" vertical="center" readingOrder="1"/>
    </xf>
    <xf numFmtId="0" fontId="14" fillId="11" borderId="1" xfId="0" applyFont="1" applyFill="1" applyBorder="1"/>
    <xf numFmtId="0" fontId="14" fillId="11" borderId="1" xfId="0" applyFont="1" applyFill="1" applyBorder="1" applyAlignment="1">
      <alignment horizontal="right" vertical="center"/>
    </xf>
    <xf numFmtId="14" fontId="14" fillId="11" borderId="1" xfId="0" applyNumberFormat="1" applyFont="1" applyFill="1" applyBorder="1"/>
    <xf numFmtId="14" fontId="14" fillId="11" borderId="1" xfId="0" applyNumberFormat="1" applyFont="1" applyFill="1" applyBorder="1" applyAlignment="1">
      <alignment horizontal="right" vertical="center"/>
    </xf>
    <xf numFmtId="14" fontId="15" fillId="0" borderId="0" xfId="0" applyNumberFormat="1" applyFont="1"/>
  </cellXfs>
  <cellStyles count="437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" xfId="99" builtinId="8" hidden="1"/>
    <cellStyle name="Hipervínculo" xfId="101" builtinId="8" hidden="1"/>
    <cellStyle name="Hipervínculo" xfId="103" builtinId="8" hidden="1"/>
    <cellStyle name="Hipervínculo" xfId="105" builtinId="8" hidden="1"/>
    <cellStyle name="Hipervínculo" xfId="107" builtinId="8" hidden="1"/>
    <cellStyle name="Hipervínculo" xfId="109" builtinId="8" hidden="1"/>
    <cellStyle name="Hipervínculo" xfId="111" builtinId="8" hidden="1"/>
    <cellStyle name="Hipervínculo" xfId="113" builtinId="8" hidden="1"/>
    <cellStyle name="Hipervínculo" xfId="115" builtinId="8" hidden="1"/>
    <cellStyle name="Hipervínculo" xfId="117" builtinId="8" hidden="1"/>
    <cellStyle name="Hipervínculo" xfId="119" builtinId="8" hidden="1"/>
    <cellStyle name="Hipervínculo" xfId="121" builtinId="8" hidden="1"/>
    <cellStyle name="Hipervínculo" xfId="123" builtinId="8" hidden="1"/>
    <cellStyle name="Hipervínculo" xfId="125" builtinId="8" hidden="1"/>
    <cellStyle name="Hipervínculo" xfId="127" builtinId="8" hidden="1"/>
    <cellStyle name="Hipervínculo" xfId="129" builtinId="8" hidden="1"/>
    <cellStyle name="Hipervínculo" xfId="131" builtinId="8" hidden="1"/>
    <cellStyle name="Hipervínculo" xfId="133" builtinId="8" hidden="1"/>
    <cellStyle name="Hipervínculo" xfId="135" builtinId="8" hidden="1"/>
    <cellStyle name="Hipervínculo" xfId="137" builtinId="8" hidden="1"/>
    <cellStyle name="Hipervínculo" xfId="139" builtinId="8" hidden="1"/>
    <cellStyle name="Hipervínculo" xfId="141" builtinId="8" hidden="1"/>
    <cellStyle name="Hipervínculo" xfId="143" builtinId="8" hidden="1"/>
    <cellStyle name="Hipervínculo" xfId="145" builtinId="8" hidden="1"/>
    <cellStyle name="Hipervínculo" xfId="147" builtinId="8" hidden="1"/>
    <cellStyle name="Hipervínculo" xfId="149" builtinId="8" hidden="1"/>
    <cellStyle name="Hipervínculo" xfId="151" builtinId="8" hidden="1"/>
    <cellStyle name="Hipervínculo" xfId="153" builtinId="8" hidden="1"/>
    <cellStyle name="Hipervínculo" xfId="155" builtinId="8" hidden="1"/>
    <cellStyle name="Hipervínculo" xfId="157" builtinId="8" hidden="1"/>
    <cellStyle name="Hipervínculo" xfId="159" builtinId="8" hidden="1"/>
    <cellStyle name="Hipervínculo" xfId="161" builtinId="8" hidden="1"/>
    <cellStyle name="Hipervínculo" xfId="163" builtinId="8" hidden="1"/>
    <cellStyle name="Hipervínculo" xfId="165" builtinId="8" hidden="1"/>
    <cellStyle name="Hipervínculo" xfId="167" builtinId="8" hidden="1"/>
    <cellStyle name="Hipervínculo" xfId="169" builtinId="8" hidden="1"/>
    <cellStyle name="Hipervínculo" xfId="171" builtinId="8" hidden="1"/>
    <cellStyle name="Hipervínculo" xfId="173" builtinId="8" hidden="1"/>
    <cellStyle name="Hipervínculo" xfId="175" builtinId="8" hidden="1"/>
    <cellStyle name="Hipervínculo" xfId="177" builtinId="8" hidden="1"/>
    <cellStyle name="Hipervínculo" xfId="179" builtinId="8" hidden="1"/>
    <cellStyle name="Hipervínculo" xfId="181" builtinId="8" hidden="1"/>
    <cellStyle name="Hipervínculo" xfId="183" builtinId="8" hidden="1"/>
    <cellStyle name="Hipervínculo" xfId="185" builtinId="8" hidden="1"/>
    <cellStyle name="Hipervínculo" xfId="187" builtinId="8" hidden="1"/>
    <cellStyle name="Hipervínculo" xfId="189" builtinId="8" hidden="1"/>
    <cellStyle name="Hipervínculo" xfId="191" builtinId="8" hidden="1"/>
    <cellStyle name="Hipervínculo" xfId="193" builtinId="8" hidden="1"/>
    <cellStyle name="Hipervínculo" xfId="195" builtinId="8" hidden="1"/>
    <cellStyle name="Hipervínculo" xfId="197" builtinId="8" hidden="1"/>
    <cellStyle name="Hipervínculo" xfId="199" builtinId="8" hidden="1"/>
    <cellStyle name="Hipervínculo" xfId="201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 hidden="1"/>
    <cellStyle name="Hipervínculo" xfId="399" builtinId="8" hidden="1"/>
    <cellStyle name="Hipervínculo" xfId="401" builtinId="8" hidden="1"/>
    <cellStyle name="Hipervínculo" xfId="403" builtinId="8" hidden="1"/>
    <cellStyle name="Hipervínculo" xfId="405" builtinId="8" hidden="1"/>
    <cellStyle name="Hipervínculo" xfId="407" builtinId="8" hidden="1"/>
    <cellStyle name="Hipervínculo" xfId="409" builtinId="8" hidden="1"/>
    <cellStyle name="Hipervínculo" xfId="411" builtinId="8" hidden="1"/>
    <cellStyle name="Hipervínculo" xfId="413" builtinId="8" hidden="1"/>
    <cellStyle name="Hipervínculo" xfId="415" builtinId="8" hidden="1"/>
    <cellStyle name="Hipervínculo" xfId="417" builtinId="8" hidden="1"/>
    <cellStyle name="Hipervínculo" xfId="419" builtinId="8" hidden="1"/>
    <cellStyle name="Hipervínculo" xfId="421" builtinId="8" hidden="1"/>
    <cellStyle name="Hipervínculo" xfId="423" builtinId="8" hidden="1"/>
    <cellStyle name="Hipervínculo" xfId="425" builtinId="8" hidden="1"/>
    <cellStyle name="Hipervínculo" xfId="427" builtinId="8" hidden="1"/>
    <cellStyle name="Hipervínculo" xfId="429" builtinId="8" hidden="1"/>
    <cellStyle name="Hipervínculo" xfId="431" builtinId="8" hidden="1"/>
    <cellStyle name="Hipervínculo" xfId="433" builtinId="8" hidden="1"/>
    <cellStyle name="Hipervínculo" xfId="435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6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6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4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2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Hipervínculo visitado" xfId="398" builtinId="9" hidden="1"/>
    <cellStyle name="Hipervínculo visitado" xfId="400" builtinId="9" hidden="1"/>
    <cellStyle name="Hipervínculo visitado" xfId="402" builtinId="9" hidden="1"/>
    <cellStyle name="Hipervínculo visitado" xfId="404" builtinId="9" hidden="1"/>
    <cellStyle name="Hipervínculo visitado" xfId="406" builtinId="9" hidden="1"/>
    <cellStyle name="Hipervínculo visitado" xfId="408" builtinId="9" hidden="1"/>
    <cellStyle name="Hipervínculo visitado" xfId="410" builtinId="9" hidden="1"/>
    <cellStyle name="Hipervínculo visitado" xfId="412" builtinId="9" hidden="1"/>
    <cellStyle name="Hipervínculo visitado" xfId="414" builtinId="9" hidden="1"/>
    <cellStyle name="Hipervínculo visitado" xfId="416" builtinId="9" hidden="1"/>
    <cellStyle name="Hipervínculo visitado" xfId="418" builtinId="9" hidden="1"/>
    <cellStyle name="Hipervínculo visitado" xfId="420" builtinId="9" hidden="1"/>
    <cellStyle name="Hipervínculo visitado" xfId="422" builtinId="9" hidden="1"/>
    <cellStyle name="Hipervínculo visitado" xfId="424" builtinId="9" hidden="1"/>
    <cellStyle name="Hipervínculo visitado" xfId="426" builtinId="9" hidden="1"/>
    <cellStyle name="Hipervínculo visitado" xfId="428" builtinId="9" hidden="1"/>
    <cellStyle name="Hipervínculo visitado" xfId="430" builtinId="9" hidden="1"/>
    <cellStyle name="Hipervínculo visitado" xfId="432" builtinId="9" hidden="1"/>
    <cellStyle name="Hipervínculo visitado" xfId="434" builtinId="9" hidden="1"/>
    <cellStyle name="Hipervínculo visitado" xfId="436" builtinId="9" hidde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75"/>
  <sheetViews>
    <sheetView topLeftCell="N1" zoomScale="85" zoomScaleNormal="85" workbookViewId="0">
      <pane ySplit="1" topLeftCell="A2" activePane="bottomLeft" state="frozen"/>
      <selection activeCell="X1" sqref="X1"/>
      <selection pane="bottomLeft" activeCell="CA16" sqref="CA16"/>
    </sheetView>
  </sheetViews>
  <sheetFormatPr baseColWidth="10" defaultColWidth="10.83203125" defaultRowHeight="16" x14ac:dyDescent="0.2"/>
  <cols>
    <col min="1" max="2" width="10.83203125" style="4"/>
    <col min="3" max="3" width="19.83203125" style="4" customWidth="1"/>
    <col min="4" max="10" width="10.83203125" style="4"/>
    <col min="11" max="22" width="10.83203125" style="4" customWidth="1"/>
    <col min="23" max="23" width="19.1640625" style="4" customWidth="1"/>
    <col min="24" max="24" width="18.6640625" style="4" customWidth="1"/>
    <col min="25" max="25" width="19.33203125" style="4" customWidth="1"/>
    <col min="26" max="26" width="18.33203125" style="4" customWidth="1"/>
    <col min="27" max="27" width="13.83203125" style="5" customWidth="1"/>
    <col min="28" max="29" width="14.83203125" style="5" customWidth="1"/>
    <col min="30" max="32" width="13.83203125" style="5" customWidth="1"/>
    <col min="33" max="33" width="10.83203125" style="8" customWidth="1"/>
    <col min="34" max="62" width="10.83203125" style="4" customWidth="1"/>
    <col min="63" max="63" width="15.5" style="5" customWidth="1"/>
    <col min="64" max="71" width="10.83203125" style="4" customWidth="1"/>
    <col min="72" max="72" width="14.33203125" style="4" customWidth="1"/>
    <col min="73" max="73" width="13.83203125" style="4" customWidth="1"/>
    <col min="74" max="74" width="17.33203125" style="4" customWidth="1"/>
    <col min="75" max="75" width="14.5" style="4" customWidth="1"/>
    <col min="76" max="76" width="14.6640625" style="4" customWidth="1"/>
    <col min="77" max="77" width="15.5" style="4" customWidth="1"/>
    <col min="78" max="78" width="13.1640625" style="4" customWidth="1"/>
    <col min="79" max="155" width="10.83203125" style="4" customWidth="1"/>
    <col min="156" max="156" width="10.83203125" style="7" customWidth="1"/>
    <col min="157" max="182" width="10.83203125" style="4" customWidth="1"/>
    <col min="183" max="184" width="10.83203125" style="4"/>
    <col min="185" max="185" width="30" style="4" customWidth="1"/>
    <col min="186" max="186" width="32.83203125" style="4" customWidth="1"/>
    <col min="187" max="187" width="25.5" style="4" customWidth="1"/>
    <col min="193" max="16384" width="10.83203125" style="4"/>
  </cols>
  <sheetData>
    <row r="1" spans="1:187" s="49" customFormat="1" ht="80" x14ac:dyDescent="0.2">
      <c r="A1" s="54" t="s">
        <v>158</v>
      </c>
      <c r="B1" s="54" t="s">
        <v>857</v>
      </c>
      <c r="C1" s="54" t="s">
        <v>159</v>
      </c>
      <c r="D1" s="54" t="s">
        <v>691</v>
      </c>
      <c r="E1" s="54" t="s">
        <v>692</v>
      </c>
      <c r="F1" s="54" t="s">
        <v>693</v>
      </c>
      <c r="G1" s="55" t="s">
        <v>269</v>
      </c>
      <c r="H1" s="54" t="s">
        <v>102</v>
      </c>
      <c r="I1" s="54" t="s">
        <v>270</v>
      </c>
      <c r="J1" s="54" t="s">
        <v>0</v>
      </c>
      <c r="K1" s="54" t="s">
        <v>105</v>
      </c>
      <c r="L1" s="54" t="s">
        <v>1</v>
      </c>
      <c r="M1" s="54" t="s">
        <v>112</v>
      </c>
      <c r="N1" s="54" t="s">
        <v>2</v>
      </c>
      <c r="O1" s="54" t="s">
        <v>116</v>
      </c>
      <c r="P1" s="54" t="s">
        <v>122</v>
      </c>
      <c r="Q1" s="54" t="s">
        <v>3</v>
      </c>
      <c r="R1" s="54" t="s">
        <v>4</v>
      </c>
      <c r="S1" s="54" t="s">
        <v>227</v>
      </c>
      <c r="T1" s="55" t="s">
        <v>704</v>
      </c>
      <c r="U1" s="54" t="s">
        <v>124</v>
      </c>
      <c r="V1" s="54" t="s">
        <v>160</v>
      </c>
      <c r="W1" s="54" t="s">
        <v>161</v>
      </c>
      <c r="X1" s="54" t="s">
        <v>162</v>
      </c>
      <c r="Y1" s="54" t="s">
        <v>163</v>
      </c>
      <c r="Z1" s="54" t="s">
        <v>164</v>
      </c>
      <c r="AA1" s="56" t="s">
        <v>267</v>
      </c>
      <c r="AB1" s="56" t="s">
        <v>665</v>
      </c>
      <c r="AC1" s="56" t="s">
        <v>666</v>
      </c>
      <c r="AD1" s="56" t="s">
        <v>467</v>
      </c>
      <c r="AE1" s="56" t="s">
        <v>468</v>
      </c>
      <c r="AF1" s="56" t="s">
        <v>674</v>
      </c>
      <c r="AG1" s="57" t="s">
        <v>682</v>
      </c>
      <c r="AH1" s="57" t="s">
        <v>683</v>
      </c>
      <c r="AI1" s="54" t="s">
        <v>23</v>
      </c>
      <c r="AJ1" s="54" t="s">
        <v>165</v>
      </c>
      <c r="AK1" s="54" t="s">
        <v>27</v>
      </c>
      <c r="AL1" s="54" t="s">
        <v>166</v>
      </c>
      <c r="AM1" s="101" t="s">
        <v>711</v>
      </c>
      <c r="AN1" s="55" t="s">
        <v>712</v>
      </c>
      <c r="AO1" s="55" t="s">
        <v>713</v>
      </c>
      <c r="AP1" s="55" t="s">
        <v>428</v>
      </c>
      <c r="AQ1" s="55" t="s">
        <v>676</v>
      </c>
      <c r="AR1" s="55" t="s">
        <v>677</v>
      </c>
      <c r="AS1" s="55" t="s">
        <v>678</v>
      </c>
      <c r="AT1" s="55" t="s">
        <v>679</v>
      </c>
      <c r="AU1" s="55" t="s">
        <v>680</v>
      </c>
      <c r="AV1" s="55" t="s">
        <v>425</v>
      </c>
      <c r="AW1" s="55" t="s">
        <v>859</v>
      </c>
      <c r="AX1" s="55" t="s">
        <v>667</v>
      </c>
      <c r="AY1" s="55" t="s">
        <v>614</v>
      </c>
      <c r="AZ1" s="55" t="s">
        <v>524</v>
      </c>
      <c r="BA1" s="55" t="s">
        <v>668</v>
      </c>
      <c r="BB1" s="55" t="s">
        <v>675</v>
      </c>
      <c r="BC1" s="54" t="s">
        <v>240</v>
      </c>
      <c r="BD1" s="54" t="s">
        <v>183</v>
      </c>
      <c r="BE1" s="54" t="s">
        <v>684</v>
      </c>
      <c r="BF1" s="54" t="s">
        <v>685</v>
      </c>
      <c r="BG1" s="54" t="s">
        <v>686</v>
      </c>
      <c r="BH1" s="58" t="s">
        <v>852</v>
      </c>
      <c r="BI1" s="55" t="s">
        <v>715</v>
      </c>
      <c r="BJ1" s="54" t="s">
        <v>687</v>
      </c>
      <c r="BK1" s="56" t="s">
        <v>689</v>
      </c>
      <c r="BL1" s="54" t="s">
        <v>690</v>
      </c>
      <c r="BM1" s="54" t="s">
        <v>34</v>
      </c>
      <c r="BN1" s="54" t="s">
        <v>35</v>
      </c>
      <c r="BO1" s="54" t="s">
        <v>36</v>
      </c>
      <c r="BP1" s="54" t="s">
        <v>129</v>
      </c>
      <c r="BQ1" s="54" t="s">
        <v>38</v>
      </c>
      <c r="BR1" s="54" t="s">
        <v>33</v>
      </c>
      <c r="BS1" s="54" t="s">
        <v>41</v>
      </c>
      <c r="BT1" s="54" t="s">
        <v>134</v>
      </c>
      <c r="BU1" s="54" t="s">
        <v>167</v>
      </c>
      <c r="BV1" s="54" t="s">
        <v>168</v>
      </c>
      <c r="BW1" s="54" t="s">
        <v>132</v>
      </c>
      <c r="BX1" s="54" t="s">
        <v>133</v>
      </c>
      <c r="BY1" s="54" t="s">
        <v>688</v>
      </c>
      <c r="BZ1" s="59" t="s">
        <v>703</v>
      </c>
      <c r="CA1" s="59" t="s">
        <v>526</v>
      </c>
      <c r="CB1" s="54" t="s">
        <v>42</v>
      </c>
      <c r="CC1" s="54" t="s">
        <v>94</v>
      </c>
      <c r="CD1" s="54" t="s">
        <v>95</v>
      </c>
      <c r="CE1" s="54" t="s">
        <v>97</v>
      </c>
      <c r="CF1" s="54" t="s">
        <v>99</v>
      </c>
      <c r="CG1" s="54" t="s">
        <v>100</v>
      </c>
      <c r="CH1" s="59" t="s">
        <v>525</v>
      </c>
      <c r="CI1" s="54" t="s">
        <v>171</v>
      </c>
      <c r="CJ1" s="54" t="s">
        <v>172</v>
      </c>
      <c r="CK1" s="54" t="s">
        <v>173</v>
      </c>
      <c r="CL1" s="54" t="s">
        <v>174</v>
      </c>
      <c r="CM1" s="54" t="s">
        <v>175</v>
      </c>
      <c r="CN1" s="54" t="s">
        <v>176</v>
      </c>
      <c r="CO1" s="54" t="s">
        <v>177</v>
      </c>
      <c r="CP1" s="54" t="s">
        <v>178</v>
      </c>
      <c r="CQ1" s="54" t="s">
        <v>179</v>
      </c>
      <c r="CR1" s="54" t="s">
        <v>180</v>
      </c>
      <c r="CS1" s="54" t="s">
        <v>181</v>
      </c>
      <c r="CT1" s="54" t="s">
        <v>182</v>
      </c>
      <c r="CU1" s="54" t="s">
        <v>216</v>
      </c>
      <c r="CV1" s="54" t="s">
        <v>218</v>
      </c>
      <c r="CW1" s="54" t="s">
        <v>217</v>
      </c>
      <c r="CX1" s="90" t="s">
        <v>694</v>
      </c>
      <c r="CY1" s="90" t="s">
        <v>695</v>
      </c>
      <c r="CZ1" s="90" t="s">
        <v>696</v>
      </c>
      <c r="DA1" s="90" t="s">
        <v>697</v>
      </c>
      <c r="DB1" s="90" t="s">
        <v>698</v>
      </c>
      <c r="DC1" s="90" t="s">
        <v>699</v>
      </c>
      <c r="DD1" s="90" t="s">
        <v>229</v>
      </c>
      <c r="DE1" s="90" t="s">
        <v>700</v>
      </c>
      <c r="DF1" s="90" t="s">
        <v>701</v>
      </c>
      <c r="DG1" s="90" t="s">
        <v>702</v>
      </c>
      <c r="DH1" s="91" t="s">
        <v>268</v>
      </c>
      <c r="DI1" s="59" t="s">
        <v>669</v>
      </c>
      <c r="DJ1" s="55" t="s">
        <v>705</v>
      </c>
      <c r="DK1" s="60" t="s">
        <v>231</v>
      </c>
      <c r="DL1" s="60" t="s">
        <v>232</v>
      </c>
      <c r="DM1" s="60" t="s">
        <v>233</v>
      </c>
      <c r="DN1" s="60" t="s">
        <v>234</v>
      </c>
      <c r="DO1" s="60" t="s">
        <v>235</v>
      </c>
      <c r="DP1" s="60" t="s">
        <v>236</v>
      </c>
      <c r="DQ1" s="60" t="s">
        <v>237</v>
      </c>
      <c r="DR1" s="60" t="s">
        <v>238</v>
      </c>
      <c r="DS1" s="60" t="s">
        <v>239</v>
      </c>
      <c r="DT1" s="59" t="s">
        <v>706</v>
      </c>
      <c r="DU1" s="59" t="s">
        <v>853</v>
      </c>
      <c r="DV1" s="59" t="s">
        <v>538</v>
      </c>
      <c r="DW1" s="59" t="s">
        <v>670</v>
      </c>
      <c r="DX1" s="59" t="s">
        <v>854</v>
      </c>
      <c r="DY1" s="55" t="s">
        <v>707</v>
      </c>
      <c r="DZ1" s="55" t="s">
        <v>708</v>
      </c>
      <c r="EA1" s="55" t="s">
        <v>709</v>
      </c>
      <c r="EB1" s="55" t="s">
        <v>710</v>
      </c>
      <c r="EC1" s="55" t="s">
        <v>681</v>
      </c>
      <c r="ED1" s="55" t="s">
        <v>723</v>
      </c>
      <c r="EE1" s="55" t="s">
        <v>529</v>
      </c>
      <c r="EF1" s="55" t="s">
        <v>724</v>
      </c>
      <c r="EG1" s="55" t="s">
        <v>533</v>
      </c>
      <c r="EH1" s="55" t="s">
        <v>521</v>
      </c>
      <c r="EI1" s="55" t="s">
        <v>522</v>
      </c>
      <c r="EJ1" s="55" t="s">
        <v>534</v>
      </c>
      <c r="EK1" s="55" t="s">
        <v>523</v>
      </c>
      <c r="EL1" s="55" t="s">
        <v>848</v>
      </c>
      <c r="EM1" s="55" t="s">
        <v>530</v>
      </c>
      <c r="EN1" s="55" t="s">
        <v>531</v>
      </c>
      <c r="EO1" s="55" t="s">
        <v>719</v>
      </c>
      <c r="EP1" s="55" t="s">
        <v>720</v>
      </c>
      <c r="EQ1" s="55" t="s">
        <v>520</v>
      </c>
      <c r="ER1" s="55" t="s">
        <v>721</v>
      </c>
      <c r="ES1" s="55" t="s">
        <v>722</v>
      </c>
      <c r="ET1" s="55" t="s">
        <v>716</v>
      </c>
      <c r="EU1" s="55" t="s">
        <v>717</v>
      </c>
      <c r="EV1" s="55" t="s">
        <v>671</v>
      </c>
      <c r="EW1" s="55" t="s">
        <v>672</v>
      </c>
      <c r="EX1" s="55" t="s">
        <v>718</v>
      </c>
      <c r="EY1" s="55" t="s">
        <v>519</v>
      </c>
      <c r="EZ1" s="92" t="s">
        <v>528</v>
      </c>
      <c r="FA1" s="55" t="s">
        <v>548</v>
      </c>
      <c r="FB1" s="55" t="s">
        <v>300</v>
      </c>
      <c r="FC1" s="55" t="s">
        <v>725</v>
      </c>
      <c r="FD1" s="55" t="s">
        <v>855</v>
      </c>
      <c r="FE1" s="55" t="s">
        <v>535</v>
      </c>
      <c r="FF1" s="55" t="s">
        <v>849</v>
      </c>
      <c r="FG1" s="55" t="s">
        <v>726</v>
      </c>
      <c r="FH1" s="55" t="s">
        <v>271</v>
      </c>
      <c r="FI1" s="55" t="s">
        <v>727</v>
      </c>
      <c r="FJ1" s="55" t="s">
        <v>728</v>
      </c>
      <c r="FK1" s="55" t="s">
        <v>729</v>
      </c>
      <c r="FL1" s="55" t="s">
        <v>730</v>
      </c>
      <c r="FM1" s="55" t="s">
        <v>731</v>
      </c>
      <c r="FN1" s="55" t="s">
        <v>732</v>
      </c>
      <c r="FO1" s="55" t="s">
        <v>733</v>
      </c>
      <c r="FP1" s="55" t="s">
        <v>734</v>
      </c>
      <c r="FQ1" s="55" t="s">
        <v>735</v>
      </c>
      <c r="FR1" s="55" t="s">
        <v>736</v>
      </c>
      <c r="FS1" s="55" t="s">
        <v>737</v>
      </c>
      <c r="FT1" s="55" t="s">
        <v>738</v>
      </c>
      <c r="FU1" s="55" t="s">
        <v>739</v>
      </c>
      <c r="FV1" s="55" t="s">
        <v>740</v>
      </c>
      <c r="FW1" s="55" t="s">
        <v>741</v>
      </c>
      <c r="FX1" s="55" t="s">
        <v>742</v>
      </c>
      <c r="FY1" s="55" t="s">
        <v>743</v>
      </c>
      <c r="FZ1" s="55" t="s">
        <v>744</v>
      </c>
      <c r="GA1" s="78" t="s">
        <v>858</v>
      </c>
      <c r="GB1" s="55" t="s">
        <v>527</v>
      </c>
      <c r="GC1" s="54" t="s">
        <v>745</v>
      </c>
      <c r="GD1" s="55" t="s">
        <v>251</v>
      </c>
      <c r="GE1" s="55" t="s">
        <v>272</v>
      </c>
    </row>
    <row r="2" spans="1:187" s="10" customFormat="1" ht="15" x14ac:dyDescent="0.2">
      <c r="A2" s="17">
        <v>14122985</v>
      </c>
      <c r="B2" s="22">
        <v>0</v>
      </c>
      <c r="C2" s="35">
        <v>45211</v>
      </c>
      <c r="D2" s="18">
        <v>24</v>
      </c>
      <c r="E2" s="18">
        <v>18</v>
      </c>
      <c r="F2" s="18">
        <v>20</v>
      </c>
      <c r="G2" s="10">
        <f>F2-D2</f>
        <v>-4</v>
      </c>
      <c r="H2" s="18">
        <v>1</v>
      </c>
      <c r="I2" s="18">
        <v>0</v>
      </c>
      <c r="J2" s="18">
        <v>52</v>
      </c>
      <c r="K2" s="18">
        <v>0</v>
      </c>
      <c r="L2" s="18">
        <v>0</v>
      </c>
      <c r="M2" s="93">
        <v>0</v>
      </c>
      <c r="N2" s="18">
        <v>0</v>
      </c>
      <c r="O2" s="18">
        <v>6</v>
      </c>
      <c r="P2" s="18">
        <v>1</v>
      </c>
      <c r="Q2" s="18">
        <v>80</v>
      </c>
      <c r="R2" s="18">
        <v>180</v>
      </c>
      <c r="S2" s="34">
        <f>Q2/((R2/100))^2</f>
        <v>24.691358024691358</v>
      </c>
      <c r="T2" s="10">
        <v>0</v>
      </c>
      <c r="U2" s="18">
        <v>0</v>
      </c>
      <c r="V2" s="18">
        <v>2</v>
      </c>
      <c r="W2" s="36">
        <v>45211.555555555555</v>
      </c>
      <c r="X2" s="36">
        <v>45211.5625</v>
      </c>
      <c r="Y2" s="36">
        <v>45211.614583333336</v>
      </c>
      <c r="Z2" s="36">
        <v>45211.628472222219</v>
      </c>
      <c r="AA2" s="39">
        <f>(X2-W2)*1440</f>
        <v>10.000000001164153</v>
      </c>
      <c r="AB2" s="39">
        <f>(Y2-X2)*1440</f>
        <v>75.00000000349246</v>
      </c>
      <c r="AC2" s="39">
        <f>(Y2-W2)*1440</f>
        <v>85.000000004656613</v>
      </c>
      <c r="AD2" s="39">
        <v>0</v>
      </c>
      <c r="AE2" s="17">
        <v>1</v>
      </c>
      <c r="AF2" s="17">
        <v>5</v>
      </c>
      <c r="AG2" s="10">
        <v>1</v>
      </c>
      <c r="AH2" s="10">
        <v>2</v>
      </c>
      <c r="AI2" s="18">
        <v>0</v>
      </c>
      <c r="AJ2" s="18">
        <v>0</v>
      </c>
      <c r="AK2" s="18">
        <v>0</v>
      </c>
      <c r="AL2" s="18">
        <v>1</v>
      </c>
      <c r="AM2" s="10">
        <v>12</v>
      </c>
      <c r="AN2" s="10">
        <v>1</v>
      </c>
      <c r="AO2" s="10">
        <v>500</v>
      </c>
      <c r="AP2" s="10">
        <v>0</v>
      </c>
      <c r="AQ2" s="10">
        <v>1</v>
      </c>
      <c r="AR2" s="10">
        <v>0</v>
      </c>
      <c r="AS2" s="10">
        <v>0</v>
      </c>
      <c r="AT2" s="10">
        <v>1</v>
      </c>
      <c r="AU2" s="10">
        <v>0</v>
      </c>
      <c r="AV2" s="10">
        <v>0</v>
      </c>
      <c r="AW2" s="10">
        <v>1</v>
      </c>
      <c r="AX2" s="10">
        <v>1</v>
      </c>
      <c r="AY2" s="10">
        <v>1</v>
      </c>
      <c r="AZ2" s="10">
        <v>1</v>
      </c>
      <c r="BA2" s="10">
        <v>0</v>
      </c>
      <c r="BB2" s="10">
        <v>1</v>
      </c>
      <c r="BC2" s="18">
        <v>0</v>
      </c>
      <c r="BD2" s="18">
        <v>0</v>
      </c>
      <c r="BE2" s="18">
        <v>0</v>
      </c>
      <c r="BF2" s="18">
        <v>0</v>
      </c>
      <c r="BG2" s="18">
        <v>0</v>
      </c>
      <c r="BH2" s="10">
        <v>0</v>
      </c>
      <c r="BI2" s="10">
        <v>0</v>
      </c>
      <c r="BJ2" s="18">
        <v>162</v>
      </c>
      <c r="BK2" s="17">
        <v>375</v>
      </c>
      <c r="BL2" s="18">
        <v>714</v>
      </c>
      <c r="BM2" s="18">
        <v>1</v>
      </c>
      <c r="BN2" s="18">
        <v>1</v>
      </c>
      <c r="BO2" s="18">
        <v>0</v>
      </c>
      <c r="BP2" s="18">
        <v>1</v>
      </c>
      <c r="BQ2" s="18">
        <v>1</v>
      </c>
      <c r="BR2" s="18">
        <v>0</v>
      </c>
      <c r="BS2" s="18">
        <v>0</v>
      </c>
      <c r="BT2" s="18"/>
      <c r="BU2" s="36">
        <v>45211.668055555558</v>
      </c>
      <c r="BV2" s="36">
        <v>45211.795138888891</v>
      </c>
      <c r="BW2" s="36">
        <v>45211.668055555558</v>
      </c>
      <c r="BX2" s="36">
        <v>45211.8125</v>
      </c>
      <c r="BY2" s="36">
        <v>45211.802083333336</v>
      </c>
      <c r="BZ2" s="19">
        <v>0</v>
      </c>
      <c r="CA2" s="19">
        <v>0</v>
      </c>
      <c r="CB2" s="18">
        <v>1</v>
      </c>
      <c r="CC2" s="18">
        <v>0</v>
      </c>
      <c r="CD2" s="18">
        <v>1</v>
      </c>
      <c r="CE2" s="18">
        <v>0</v>
      </c>
      <c r="CF2" s="18">
        <v>0</v>
      </c>
      <c r="CG2" s="18"/>
      <c r="CH2" s="19">
        <v>0</v>
      </c>
      <c r="CI2" s="18">
        <v>1</v>
      </c>
      <c r="CJ2" s="18">
        <v>1</v>
      </c>
      <c r="CK2" s="18">
        <v>1</v>
      </c>
      <c r="CL2" s="18">
        <v>1</v>
      </c>
      <c r="CM2" s="18">
        <v>1</v>
      </c>
      <c r="CN2" s="18">
        <v>1</v>
      </c>
      <c r="CO2" s="18">
        <v>0</v>
      </c>
      <c r="CP2" s="18">
        <v>0</v>
      </c>
      <c r="CQ2" s="18">
        <v>0</v>
      </c>
      <c r="CR2" s="18">
        <v>0</v>
      </c>
      <c r="CS2" s="18">
        <v>0</v>
      </c>
      <c r="CT2" s="18">
        <v>0</v>
      </c>
      <c r="CU2" s="18">
        <v>1</v>
      </c>
      <c r="CV2" s="18">
        <v>0</v>
      </c>
      <c r="CW2" s="18">
        <v>0</v>
      </c>
      <c r="CX2" s="19">
        <v>0</v>
      </c>
      <c r="CY2" s="19">
        <v>5</v>
      </c>
      <c r="CZ2" s="19">
        <v>0</v>
      </c>
      <c r="DA2" s="19">
        <v>5</v>
      </c>
      <c r="DB2" s="19">
        <v>0</v>
      </c>
      <c r="DC2" s="19">
        <v>5</v>
      </c>
      <c r="DD2" s="19">
        <v>1</v>
      </c>
      <c r="DE2" s="19"/>
      <c r="DF2" s="19">
        <v>1</v>
      </c>
      <c r="DG2" s="19"/>
      <c r="DH2" s="19">
        <v>2</v>
      </c>
      <c r="DI2" s="19">
        <v>0</v>
      </c>
      <c r="DJ2" s="10">
        <v>0</v>
      </c>
      <c r="DK2" s="19">
        <v>0</v>
      </c>
      <c r="DL2" s="19">
        <v>0</v>
      </c>
      <c r="DM2" s="19">
        <v>0</v>
      </c>
      <c r="DN2" s="19">
        <v>0</v>
      </c>
      <c r="DO2" s="19">
        <v>0</v>
      </c>
      <c r="DP2" s="19">
        <v>0</v>
      </c>
      <c r="DQ2" s="19">
        <v>0</v>
      </c>
      <c r="DR2" s="19">
        <v>1</v>
      </c>
      <c r="DS2" s="19">
        <v>0</v>
      </c>
      <c r="DT2" s="19">
        <v>0</v>
      </c>
      <c r="DU2" s="19">
        <v>0</v>
      </c>
      <c r="DV2" s="19">
        <v>0</v>
      </c>
      <c r="DW2" s="19">
        <v>0</v>
      </c>
      <c r="DX2" s="19">
        <v>1</v>
      </c>
      <c r="DY2" s="48">
        <v>1.36</v>
      </c>
      <c r="EA2" s="10">
        <v>90</v>
      </c>
      <c r="EB2" s="10">
        <v>454</v>
      </c>
      <c r="ED2" s="10">
        <v>145</v>
      </c>
      <c r="EE2" s="10">
        <v>15.78</v>
      </c>
      <c r="EF2" s="10">
        <v>95</v>
      </c>
      <c r="EG2" s="10">
        <v>1444</v>
      </c>
      <c r="EH2" s="10">
        <v>1160</v>
      </c>
      <c r="EI2" s="10">
        <v>1032</v>
      </c>
      <c r="EJ2" s="10">
        <v>21</v>
      </c>
      <c r="EK2" s="10">
        <v>0.2</v>
      </c>
      <c r="EL2" s="10">
        <v>8.6999999999999993</v>
      </c>
      <c r="EO2" s="94">
        <v>0</v>
      </c>
      <c r="EP2" s="10">
        <v>125</v>
      </c>
      <c r="EQ2" s="10">
        <v>30</v>
      </c>
      <c r="ES2" s="10">
        <v>15</v>
      </c>
      <c r="ET2" s="10">
        <v>1</v>
      </c>
      <c r="EU2" s="10">
        <v>1</v>
      </c>
      <c r="EV2" s="10">
        <v>7</v>
      </c>
      <c r="EW2" s="94"/>
      <c r="EZ2" s="13"/>
      <c r="FH2" s="10">
        <v>0</v>
      </c>
      <c r="FI2" s="10">
        <v>0</v>
      </c>
      <c r="FJ2" s="10">
        <v>1</v>
      </c>
      <c r="FK2" s="10">
        <v>0</v>
      </c>
      <c r="FL2" s="10">
        <v>1</v>
      </c>
      <c r="FM2" s="94"/>
      <c r="FN2" s="94"/>
      <c r="FO2" s="94"/>
      <c r="FP2" s="94"/>
      <c r="FQ2" s="94"/>
      <c r="FR2" s="94"/>
      <c r="FS2" s="94"/>
      <c r="FU2" s="94"/>
      <c r="FV2" s="94"/>
      <c r="FW2" s="94"/>
      <c r="FX2" s="94"/>
      <c r="FY2" s="94"/>
      <c r="FZ2" s="94"/>
      <c r="GA2" s="94"/>
      <c r="GC2" s="10" t="s">
        <v>836</v>
      </c>
      <c r="GD2" s="10" t="s">
        <v>843</v>
      </c>
    </row>
    <row r="3" spans="1:187" s="10" customFormat="1" ht="15" x14ac:dyDescent="0.2">
      <c r="A3" s="17">
        <v>14068212</v>
      </c>
      <c r="B3" s="22">
        <v>0</v>
      </c>
      <c r="C3" s="35">
        <v>45050</v>
      </c>
      <c r="D3" s="18">
        <v>55</v>
      </c>
      <c r="E3" s="18">
        <v>42</v>
      </c>
      <c r="F3" s="18">
        <v>54</v>
      </c>
      <c r="G3" s="10">
        <f t="shared" ref="G3:G66" si="0">F3-D3</f>
        <v>-1</v>
      </c>
      <c r="H3" s="18">
        <v>1</v>
      </c>
      <c r="I3" s="18">
        <v>0</v>
      </c>
      <c r="J3" s="18">
        <v>49</v>
      </c>
      <c r="K3" s="18">
        <v>1</v>
      </c>
      <c r="L3" s="18">
        <v>0</v>
      </c>
      <c r="M3" s="10">
        <v>0</v>
      </c>
      <c r="N3" s="18">
        <v>0</v>
      </c>
      <c r="O3" s="18">
        <v>6</v>
      </c>
      <c r="P3" s="18">
        <v>1</v>
      </c>
      <c r="Q3" s="18">
        <v>90</v>
      </c>
      <c r="R3" s="18">
        <v>180</v>
      </c>
      <c r="S3" s="34">
        <f t="shared" ref="S3:S66" si="1">Q3/((R3/100))^2</f>
        <v>27.777777777777775</v>
      </c>
      <c r="T3" s="10">
        <v>0</v>
      </c>
      <c r="U3" s="18">
        <v>0</v>
      </c>
      <c r="V3" s="18">
        <v>6</v>
      </c>
      <c r="W3" s="37">
        <v>45049.701388888891</v>
      </c>
      <c r="X3" s="36">
        <v>45049.708333333336</v>
      </c>
      <c r="Y3" s="36">
        <v>45049.779166666667</v>
      </c>
      <c r="Z3" s="36">
        <v>45049.786111111112</v>
      </c>
      <c r="AA3" s="39">
        <f t="shared" ref="AA3:AA66" si="2">(X3-W3)*1440</f>
        <v>10.000000001164153</v>
      </c>
      <c r="AB3" s="39">
        <f t="shared" ref="AB3:AB66" si="3">(Y3-X3)*1440</f>
        <v>101.99999999720603</v>
      </c>
      <c r="AC3" s="39">
        <f t="shared" ref="AC3:AC66" si="4">(Y3-W3)*1440</f>
        <v>111.99999999837019</v>
      </c>
      <c r="AD3" s="39">
        <v>0</v>
      </c>
      <c r="AE3" s="17">
        <v>1</v>
      </c>
      <c r="AF3" s="17">
        <v>5</v>
      </c>
      <c r="AG3" s="10">
        <v>1</v>
      </c>
      <c r="AH3" s="10">
        <v>8</v>
      </c>
      <c r="AI3" s="18">
        <v>0</v>
      </c>
      <c r="AJ3" s="18">
        <v>0</v>
      </c>
      <c r="AK3" s="18">
        <v>0</v>
      </c>
      <c r="AL3" s="18">
        <v>1</v>
      </c>
      <c r="AM3" s="10">
        <v>21</v>
      </c>
      <c r="AN3" s="10">
        <v>0</v>
      </c>
      <c r="AO3" s="10">
        <v>1000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1</v>
      </c>
      <c r="AZ3" s="10">
        <v>0</v>
      </c>
      <c r="BA3" s="10">
        <v>0</v>
      </c>
      <c r="BB3" s="10">
        <v>2</v>
      </c>
      <c r="BC3" s="18">
        <v>0</v>
      </c>
      <c r="BD3" s="18">
        <v>1</v>
      </c>
      <c r="BE3" s="18">
        <v>1</v>
      </c>
      <c r="BF3" s="18">
        <v>1</v>
      </c>
      <c r="BG3" s="18">
        <v>0</v>
      </c>
      <c r="BH3" s="10">
        <v>0</v>
      </c>
      <c r="BI3" s="10">
        <v>0</v>
      </c>
      <c r="BJ3" s="18">
        <v>160</v>
      </c>
      <c r="BK3" s="17">
        <v>1095</v>
      </c>
      <c r="BL3" s="18"/>
      <c r="BM3" s="18">
        <v>1</v>
      </c>
      <c r="BN3" s="18">
        <v>1</v>
      </c>
      <c r="BO3" s="18">
        <v>0</v>
      </c>
      <c r="BP3" s="18">
        <v>1</v>
      </c>
      <c r="BQ3" s="18">
        <v>1</v>
      </c>
      <c r="BR3" s="18">
        <v>0</v>
      </c>
      <c r="BS3" s="18">
        <v>0</v>
      </c>
      <c r="BT3" s="18"/>
      <c r="BU3" s="36">
        <v>45049.813888888886</v>
      </c>
      <c r="BV3" s="36">
        <v>45049.979166666664</v>
      </c>
      <c r="BW3" s="36">
        <v>45049.9375</v>
      </c>
      <c r="BX3" s="36">
        <v>45049.993055555555</v>
      </c>
      <c r="BY3" s="42"/>
      <c r="BZ3" s="19">
        <v>0</v>
      </c>
      <c r="CA3" s="19">
        <v>0</v>
      </c>
      <c r="CB3" s="18">
        <v>1</v>
      </c>
      <c r="CC3" s="18">
        <v>0</v>
      </c>
      <c r="CD3" s="18">
        <v>0</v>
      </c>
      <c r="CE3" s="18">
        <v>0</v>
      </c>
      <c r="CF3" s="18">
        <v>0</v>
      </c>
      <c r="CG3" s="18"/>
      <c r="CH3" s="106"/>
      <c r="CI3" s="18">
        <v>1</v>
      </c>
      <c r="CJ3" s="18">
        <v>0</v>
      </c>
      <c r="CK3" s="18">
        <v>0</v>
      </c>
      <c r="CL3" s="18">
        <v>1</v>
      </c>
      <c r="CM3" s="18">
        <v>1</v>
      </c>
      <c r="CN3" s="18">
        <v>1</v>
      </c>
      <c r="CO3" s="18">
        <v>0</v>
      </c>
      <c r="CP3" s="18">
        <v>0</v>
      </c>
      <c r="CQ3" s="18">
        <v>0</v>
      </c>
      <c r="CR3" s="18">
        <v>0</v>
      </c>
      <c r="CS3" s="18">
        <v>0</v>
      </c>
      <c r="CT3" s="18">
        <v>0</v>
      </c>
      <c r="CU3" s="18">
        <v>1</v>
      </c>
      <c r="CV3" s="18">
        <v>0</v>
      </c>
      <c r="CW3" s="18">
        <v>0</v>
      </c>
      <c r="CX3" s="19">
        <v>0</v>
      </c>
      <c r="CY3" s="19">
        <v>5</v>
      </c>
      <c r="CZ3" s="19">
        <v>0</v>
      </c>
      <c r="DA3" s="19">
        <v>5</v>
      </c>
      <c r="DB3" s="19">
        <v>0</v>
      </c>
      <c r="DC3" s="19">
        <v>0</v>
      </c>
      <c r="DD3" s="19">
        <v>1</v>
      </c>
      <c r="DE3" s="19"/>
      <c r="DF3" s="19">
        <v>0</v>
      </c>
      <c r="DG3" s="19">
        <v>5</v>
      </c>
      <c r="DH3" s="19">
        <v>1</v>
      </c>
      <c r="DI3" s="19">
        <v>0</v>
      </c>
      <c r="DJ3" s="10">
        <v>0</v>
      </c>
      <c r="DK3" s="19">
        <v>0</v>
      </c>
      <c r="DL3" s="19">
        <v>0</v>
      </c>
      <c r="DM3" s="19">
        <v>0</v>
      </c>
      <c r="DN3" s="19">
        <v>0</v>
      </c>
      <c r="DO3" s="19">
        <v>0</v>
      </c>
      <c r="DP3" s="19">
        <v>0</v>
      </c>
      <c r="DQ3" s="19">
        <v>0</v>
      </c>
      <c r="DR3" s="19">
        <v>0</v>
      </c>
      <c r="DS3" s="19">
        <v>0</v>
      </c>
      <c r="DT3" s="19">
        <v>0</v>
      </c>
      <c r="DU3" s="19">
        <v>0</v>
      </c>
      <c r="DV3" s="19">
        <v>0</v>
      </c>
      <c r="DW3" s="19">
        <v>0</v>
      </c>
      <c r="DX3" s="19">
        <v>1</v>
      </c>
      <c r="DY3" s="10">
        <v>1.48</v>
      </c>
      <c r="EA3" s="10">
        <v>168</v>
      </c>
      <c r="EB3" s="10">
        <v>260</v>
      </c>
      <c r="ED3" s="10">
        <v>146</v>
      </c>
      <c r="EE3" s="10">
        <v>3.89</v>
      </c>
      <c r="EH3" s="10">
        <v>252</v>
      </c>
      <c r="EI3" s="10">
        <v>170</v>
      </c>
      <c r="EJ3" s="10">
        <v>67</v>
      </c>
      <c r="EK3" s="10">
        <v>0.7</v>
      </c>
      <c r="EO3" s="94"/>
      <c r="ET3" s="10">
        <v>1</v>
      </c>
      <c r="EU3" s="10">
        <v>1</v>
      </c>
      <c r="EV3" s="10">
        <v>7</v>
      </c>
      <c r="EW3" s="10">
        <v>0</v>
      </c>
      <c r="EX3" s="10">
        <v>500</v>
      </c>
      <c r="EY3" s="10">
        <v>10</v>
      </c>
      <c r="EZ3" s="13" t="s">
        <v>673</v>
      </c>
      <c r="FH3" s="10">
        <v>0</v>
      </c>
      <c r="FI3" s="10">
        <v>1</v>
      </c>
      <c r="FJ3" s="10">
        <v>1</v>
      </c>
      <c r="FK3" s="10">
        <v>1</v>
      </c>
      <c r="FL3" s="10">
        <v>1</v>
      </c>
      <c r="FM3" s="94"/>
      <c r="FN3" s="94"/>
      <c r="FO3" s="94"/>
      <c r="FP3" s="94"/>
      <c r="FQ3" s="94"/>
      <c r="FR3" s="94"/>
      <c r="FS3" s="94"/>
      <c r="FU3" s="94"/>
      <c r="FV3" s="94"/>
      <c r="FW3" s="94"/>
      <c r="FX3" s="94"/>
      <c r="FY3" s="94"/>
      <c r="FZ3" s="94"/>
      <c r="GA3" s="94"/>
      <c r="GC3" s="10" t="s">
        <v>838</v>
      </c>
      <c r="GD3" s="10" t="s">
        <v>837</v>
      </c>
    </row>
    <row r="4" spans="1:187" s="10" customFormat="1" ht="15" x14ac:dyDescent="0.2">
      <c r="A4" s="20">
        <v>13985925</v>
      </c>
      <c r="B4" s="22">
        <v>0</v>
      </c>
      <c r="C4" s="30">
        <v>44815</v>
      </c>
      <c r="D4" s="10">
        <v>22</v>
      </c>
      <c r="E4" s="10">
        <v>20</v>
      </c>
      <c r="F4" s="10">
        <v>10</v>
      </c>
      <c r="G4" s="10">
        <f t="shared" si="0"/>
        <v>-12</v>
      </c>
      <c r="H4" s="10">
        <v>1</v>
      </c>
      <c r="I4" s="10">
        <v>0</v>
      </c>
      <c r="J4" s="21">
        <v>23</v>
      </c>
      <c r="K4" s="21">
        <v>1</v>
      </c>
      <c r="L4" s="21">
        <v>0</v>
      </c>
      <c r="M4" s="21">
        <v>1</v>
      </c>
      <c r="N4" s="21"/>
      <c r="O4" s="21">
        <v>1</v>
      </c>
      <c r="P4" s="10">
        <v>1</v>
      </c>
      <c r="Q4" s="21">
        <v>130</v>
      </c>
      <c r="R4" s="21">
        <v>187</v>
      </c>
      <c r="S4" s="34">
        <f t="shared" si="1"/>
        <v>37.17578426606422</v>
      </c>
      <c r="T4" s="10">
        <v>0</v>
      </c>
      <c r="U4" s="21">
        <v>1</v>
      </c>
      <c r="V4" s="21">
        <v>1</v>
      </c>
      <c r="W4" s="37">
        <v>44815.6340277778</v>
      </c>
      <c r="X4" s="37">
        <v>44815.635416666701</v>
      </c>
      <c r="Y4" s="37">
        <v>44815.6875</v>
      </c>
      <c r="Z4" s="37">
        <v>44815.693749999999</v>
      </c>
      <c r="AA4" s="39">
        <f t="shared" si="2"/>
        <v>2.000000016996637</v>
      </c>
      <c r="AB4" s="39">
        <f t="shared" si="3"/>
        <v>74.999999951105565</v>
      </c>
      <c r="AC4" s="39">
        <f t="shared" si="4"/>
        <v>76.999999968102202</v>
      </c>
      <c r="AD4" s="40">
        <v>0</v>
      </c>
      <c r="AE4" s="20">
        <v>1</v>
      </c>
      <c r="AF4" s="20">
        <v>0</v>
      </c>
      <c r="AG4" s="11">
        <v>1</v>
      </c>
      <c r="AH4" s="11">
        <v>2</v>
      </c>
      <c r="AI4" s="21">
        <v>0</v>
      </c>
      <c r="AJ4" s="21">
        <v>0</v>
      </c>
      <c r="AK4" s="21">
        <v>0</v>
      </c>
      <c r="AL4" s="21">
        <v>1</v>
      </c>
      <c r="AM4" s="10">
        <v>7</v>
      </c>
      <c r="AN4" s="10">
        <v>0</v>
      </c>
      <c r="AO4" s="10">
        <v>500</v>
      </c>
      <c r="AP4" s="10">
        <v>0</v>
      </c>
      <c r="AQ4" s="10">
        <v>1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1</v>
      </c>
      <c r="AX4" s="10">
        <v>0</v>
      </c>
      <c r="AY4" s="10">
        <v>0</v>
      </c>
      <c r="AZ4" s="10">
        <v>0</v>
      </c>
      <c r="BA4" s="10">
        <v>0</v>
      </c>
      <c r="BB4" s="10">
        <v>2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117</v>
      </c>
      <c r="BK4" s="12"/>
      <c r="BM4" s="21">
        <v>1</v>
      </c>
      <c r="BN4" s="21">
        <v>0</v>
      </c>
      <c r="BO4" s="21">
        <v>0</v>
      </c>
      <c r="BP4" s="21">
        <v>1</v>
      </c>
      <c r="BQ4" s="21">
        <v>1</v>
      </c>
      <c r="BR4" s="21">
        <v>0</v>
      </c>
      <c r="BS4" s="10">
        <v>0</v>
      </c>
      <c r="BT4" s="21"/>
      <c r="BU4" s="37">
        <v>44815.729166666701</v>
      </c>
      <c r="BV4" s="37">
        <v>44815.861111111102</v>
      </c>
      <c r="BW4" s="37">
        <v>44815.84375</v>
      </c>
      <c r="BX4" s="37">
        <v>44815.885416666701</v>
      </c>
      <c r="BY4" s="43"/>
      <c r="BZ4" s="10">
        <v>0</v>
      </c>
      <c r="CA4" s="10">
        <v>0</v>
      </c>
      <c r="CB4" s="21">
        <v>0</v>
      </c>
      <c r="CC4" s="21"/>
      <c r="CD4" s="21">
        <v>0</v>
      </c>
      <c r="CE4" s="21"/>
      <c r="CF4" s="21">
        <v>0</v>
      </c>
      <c r="CG4" s="21"/>
      <c r="CH4" s="94">
        <v>0</v>
      </c>
      <c r="CI4" s="10">
        <v>1</v>
      </c>
      <c r="CJ4" s="10">
        <v>0</v>
      </c>
      <c r="CK4" s="10">
        <v>0</v>
      </c>
      <c r="CL4" s="10">
        <v>1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1</v>
      </c>
      <c r="CZ4" s="10">
        <v>0</v>
      </c>
      <c r="DA4" s="10">
        <v>1</v>
      </c>
      <c r="DB4" s="10">
        <v>0</v>
      </c>
      <c r="DC4" s="10">
        <v>0</v>
      </c>
      <c r="DD4" s="10">
        <v>0</v>
      </c>
      <c r="DE4" s="10">
        <v>2</v>
      </c>
      <c r="DF4" s="10">
        <v>0</v>
      </c>
      <c r="DG4" s="10">
        <v>2</v>
      </c>
      <c r="DH4" s="10">
        <v>0</v>
      </c>
      <c r="DI4" s="10">
        <v>2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1</v>
      </c>
      <c r="DS4" s="10">
        <v>0</v>
      </c>
      <c r="DT4" s="94"/>
      <c r="DU4" s="94"/>
      <c r="DV4" s="94"/>
      <c r="DW4" s="94"/>
      <c r="DX4" s="10">
        <v>0</v>
      </c>
      <c r="DY4" s="10">
        <v>1.56</v>
      </c>
      <c r="EA4" s="10">
        <v>248</v>
      </c>
      <c r="EB4" s="10">
        <v>480</v>
      </c>
      <c r="ED4" s="10">
        <v>143</v>
      </c>
      <c r="EE4" s="10">
        <v>7.96</v>
      </c>
      <c r="EF4" s="10">
        <v>96</v>
      </c>
      <c r="EG4" s="10">
        <v>959</v>
      </c>
      <c r="EH4" s="10">
        <v>376</v>
      </c>
      <c r="EI4" s="10">
        <v>300</v>
      </c>
      <c r="EJ4" s="10">
        <v>22</v>
      </c>
      <c r="EK4" s="10">
        <v>0.5</v>
      </c>
      <c r="EL4" s="10" t="s">
        <v>880</v>
      </c>
      <c r="EO4" s="94">
        <v>0</v>
      </c>
      <c r="EP4" s="10">
        <v>125</v>
      </c>
      <c r="EQ4" s="10">
        <v>36</v>
      </c>
      <c r="ER4" s="10">
        <v>27.1</v>
      </c>
      <c r="ES4" s="94" t="s">
        <v>866</v>
      </c>
      <c r="ET4" s="10">
        <v>1</v>
      </c>
      <c r="EU4" s="10">
        <v>0</v>
      </c>
      <c r="EV4" s="10">
        <v>8.5</v>
      </c>
      <c r="EW4" s="10">
        <v>0</v>
      </c>
      <c r="EX4" s="10">
        <v>500</v>
      </c>
      <c r="EY4" s="10">
        <v>10</v>
      </c>
      <c r="EZ4" s="13" t="s">
        <v>673</v>
      </c>
      <c r="FA4" s="10">
        <v>1</v>
      </c>
      <c r="FH4" s="10">
        <v>0</v>
      </c>
      <c r="FI4" s="10">
        <v>1</v>
      </c>
      <c r="FJ4" s="10">
        <v>1</v>
      </c>
      <c r="FK4" s="10">
        <v>1</v>
      </c>
      <c r="FL4" s="10">
        <v>2</v>
      </c>
      <c r="FM4" s="94"/>
      <c r="FN4" s="94"/>
      <c r="FO4" s="94"/>
      <c r="FP4" s="94"/>
      <c r="FQ4" s="94"/>
      <c r="FR4" s="94"/>
      <c r="FS4" s="94"/>
      <c r="FU4" s="94"/>
      <c r="FV4" s="94"/>
      <c r="FW4" s="94"/>
      <c r="FX4" s="94"/>
      <c r="FY4" s="94"/>
      <c r="FZ4" s="94"/>
      <c r="GA4" s="94"/>
      <c r="GC4" s="51" t="s">
        <v>844</v>
      </c>
      <c r="GD4" s="10" t="s">
        <v>839</v>
      </c>
    </row>
    <row r="5" spans="1:187" s="10" customFormat="1" ht="15" x14ac:dyDescent="0.2">
      <c r="A5" s="22">
        <v>13976766</v>
      </c>
      <c r="B5" s="22">
        <v>0</v>
      </c>
      <c r="C5" s="29">
        <v>44777</v>
      </c>
      <c r="D5" s="10">
        <v>11</v>
      </c>
      <c r="E5" s="10">
        <v>8</v>
      </c>
      <c r="F5" s="10">
        <v>13</v>
      </c>
      <c r="G5" s="10">
        <f t="shared" si="0"/>
        <v>2</v>
      </c>
      <c r="H5" s="10">
        <v>1</v>
      </c>
      <c r="I5" s="10">
        <v>0</v>
      </c>
      <c r="J5" s="23">
        <v>51</v>
      </c>
      <c r="K5" s="23">
        <v>1</v>
      </c>
      <c r="L5" s="23">
        <v>0</v>
      </c>
      <c r="M5" s="23">
        <v>0</v>
      </c>
      <c r="N5" s="23">
        <v>0</v>
      </c>
      <c r="O5" s="23">
        <v>3</v>
      </c>
      <c r="P5" s="94"/>
      <c r="Q5" s="23">
        <v>65</v>
      </c>
      <c r="R5" s="23">
        <v>170</v>
      </c>
      <c r="S5" s="34">
        <f t="shared" si="1"/>
        <v>22.491349480968861</v>
      </c>
      <c r="T5" s="24">
        <v>0</v>
      </c>
      <c r="U5" s="23">
        <v>0</v>
      </c>
      <c r="V5" s="23">
        <v>3</v>
      </c>
      <c r="W5" s="38">
        <v>44776.979861111111</v>
      </c>
      <c r="X5" s="38">
        <v>44776.984722222202</v>
      </c>
      <c r="Y5" s="38">
        <v>44777.041666666701</v>
      </c>
      <c r="Z5" s="38">
        <v>44777.045138888898</v>
      </c>
      <c r="AA5" s="39">
        <f t="shared" si="2"/>
        <v>6.9999999704305083</v>
      </c>
      <c r="AB5" s="39">
        <f t="shared" si="3"/>
        <v>82.000000078696758</v>
      </c>
      <c r="AC5" s="39">
        <f t="shared" si="4"/>
        <v>89.000000049127266</v>
      </c>
      <c r="AD5" s="41">
        <v>0</v>
      </c>
      <c r="AE5" s="22">
        <v>1</v>
      </c>
      <c r="AF5" s="22">
        <v>0</v>
      </c>
      <c r="AG5" s="11">
        <v>1</v>
      </c>
      <c r="AH5" s="11">
        <v>1</v>
      </c>
      <c r="AI5" s="23">
        <v>0</v>
      </c>
      <c r="AJ5" s="23">
        <v>0</v>
      </c>
      <c r="AK5" s="23">
        <v>0</v>
      </c>
      <c r="AL5" s="23">
        <v>1</v>
      </c>
      <c r="AM5" s="10">
        <v>9</v>
      </c>
      <c r="AN5" s="10">
        <v>0</v>
      </c>
      <c r="AO5" s="10">
        <v>500</v>
      </c>
      <c r="AP5" s="10">
        <v>0</v>
      </c>
      <c r="AQ5" s="10">
        <v>1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1</v>
      </c>
      <c r="AX5" s="10">
        <v>0</v>
      </c>
      <c r="AY5" s="10">
        <v>0</v>
      </c>
      <c r="AZ5" s="10">
        <v>0</v>
      </c>
      <c r="BA5" s="10">
        <v>0</v>
      </c>
      <c r="BB5" s="10">
        <v>3</v>
      </c>
      <c r="BC5" s="10">
        <v>1</v>
      </c>
      <c r="BD5" s="10">
        <v>1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132</v>
      </c>
      <c r="BK5" s="12"/>
      <c r="BM5" s="23">
        <v>1</v>
      </c>
      <c r="BN5" s="23">
        <v>1</v>
      </c>
      <c r="BO5" s="23">
        <v>0</v>
      </c>
      <c r="BP5" s="23">
        <v>1</v>
      </c>
      <c r="BQ5" s="23">
        <v>1</v>
      </c>
      <c r="BR5" s="23">
        <v>0</v>
      </c>
      <c r="BS5" s="10">
        <v>0</v>
      </c>
      <c r="BT5" s="23"/>
      <c r="BU5" s="38">
        <v>44777.070833333302</v>
      </c>
      <c r="BV5" s="38">
        <v>44777.25</v>
      </c>
      <c r="BW5" s="38">
        <v>44777.166666666701</v>
      </c>
      <c r="BX5" s="44"/>
      <c r="BY5" s="43"/>
      <c r="BZ5" s="25">
        <v>0</v>
      </c>
      <c r="CA5" s="25">
        <v>0</v>
      </c>
      <c r="CB5" s="23">
        <v>0</v>
      </c>
      <c r="CC5" s="23"/>
      <c r="CD5" s="23">
        <v>0</v>
      </c>
      <c r="CE5" s="23"/>
      <c r="CF5" s="23">
        <v>0</v>
      </c>
      <c r="CG5" s="23"/>
      <c r="CH5" s="105">
        <v>0</v>
      </c>
      <c r="CI5" s="10">
        <v>1</v>
      </c>
      <c r="CJ5" s="10">
        <v>0</v>
      </c>
      <c r="CK5" s="10">
        <v>0</v>
      </c>
      <c r="CL5" s="10">
        <v>1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1</v>
      </c>
      <c r="CV5" s="10">
        <v>0</v>
      </c>
      <c r="CW5" s="10">
        <v>0</v>
      </c>
      <c r="CX5" s="25">
        <v>0</v>
      </c>
      <c r="CY5" s="25">
        <v>5</v>
      </c>
      <c r="CZ5" s="25">
        <v>0</v>
      </c>
      <c r="DA5" s="25">
        <v>5</v>
      </c>
      <c r="DB5" s="25">
        <v>0</v>
      </c>
      <c r="DC5" s="25">
        <v>3</v>
      </c>
      <c r="DD5" s="25">
        <v>0</v>
      </c>
      <c r="DE5" s="105">
        <v>4</v>
      </c>
      <c r="DF5" s="25">
        <v>0</v>
      </c>
      <c r="DG5" s="105">
        <v>4</v>
      </c>
      <c r="DH5" s="25">
        <v>0</v>
      </c>
      <c r="DI5" s="25">
        <v>2</v>
      </c>
      <c r="DJ5" s="25">
        <v>0</v>
      </c>
      <c r="DK5" s="25">
        <v>0</v>
      </c>
      <c r="DL5" s="25">
        <v>0</v>
      </c>
      <c r="DM5" s="25">
        <v>1</v>
      </c>
      <c r="DN5" s="25">
        <v>0</v>
      </c>
      <c r="DO5" s="105"/>
      <c r="DP5" s="25">
        <v>0</v>
      </c>
      <c r="DQ5" s="105"/>
      <c r="DR5" s="25">
        <v>1</v>
      </c>
      <c r="DS5" s="105"/>
      <c r="DT5" s="103"/>
      <c r="DU5" s="103"/>
      <c r="DV5" s="103"/>
      <c r="DW5" s="103"/>
      <c r="DX5" s="26">
        <v>0</v>
      </c>
      <c r="DY5" s="10">
        <v>1.36</v>
      </c>
      <c r="EA5" s="10">
        <v>178</v>
      </c>
      <c r="EB5" s="10">
        <v>5</v>
      </c>
      <c r="ED5" s="10">
        <v>155</v>
      </c>
      <c r="EE5" s="10">
        <v>9.65</v>
      </c>
      <c r="EF5" s="10">
        <v>82</v>
      </c>
      <c r="EG5" s="10">
        <v>97</v>
      </c>
      <c r="EH5" s="10">
        <v>314</v>
      </c>
      <c r="EI5" s="10">
        <v>92</v>
      </c>
      <c r="EJ5" s="10">
        <v>300</v>
      </c>
      <c r="EK5" s="10">
        <v>0.5</v>
      </c>
      <c r="EL5" s="10">
        <v>8.3000000000000007</v>
      </c>
      <c r="EO5" s="94"/>
      <c r="ET5" s="10">
        <v>0</v>
      </c>
      <c r="EU5" s="10">
        <v>0</v>
      </c>
      <c r="EV5" s="10">
        <v>7</v>
      </c>
      <c r="EW5" s="94"/>
      <c r="EX5" s="10">
        <v>500</v>
      </c>
      <c r="EY5" s="10">
        <v>10</v>
      </c>
      <c r="EZ5" s="13" t="s">
        <v>673</v>
      </c>
      <c r="FA5" s="10">
        <v>1</v>
      </c>
      <c r="FG5" s="94"/>
      <c r="FH5" s="94"/>
      <c r="FI5" s="94"/>
      <c r="FJ5" s="94"/>
      <c r="FK5" s="94"/>
      <c r="FL5" s="10">
        <v>1</v>
      </c>
      <c r="FM5" s="94"/>
      <c r="FN5" s="94"/>
      <c r="FO5" s="94"/>
      <c r="FP5" s="94"/>
      <c r="FQ5" s="94"/>
      <c r="FR5" s="94"/>
      <c r="FS5" s="94"/>
      <c r="FU5" s="94"/>
      <c r="FV5" s="94"/>
      <c r="FW5" s="94"/>
      <c r="FX5" s="94"/>
      <c r="FY5" s="94"/>
      <c r="FZ5" s="94"/>
      <c r="GA5" s="94"/>
      <c r="GC5" s="52" t="s">
        <v>845</v>
      </c>
      <c r="GD5" s="10" t="s">
        <v>241</v>
      </c>
    </row>
    <row r="6" spans="1:187" s="10" customFormat="1" ht="15" x14ac:dyDescent="0.2">
      <c r="A6" s="23">
        <v>13958205</v>
      </c>
      <c r="B6" s="22">
        <v>0</v>
      </c>
      <c r="C6" s="29">
        <v>44719</v>
      </c>
      <c r="D6" s="10">
        <v>9</v>
      </c>
      <c r="E6" s="10">
        <v>26</v>
      </c>
      <c r="F6" s="10">
        <v>12</v>
      </c>
      <c r="G6" s="10">
        <f t="shared" si="0"/>
        <v>3</v>
      </c>
      <c r="H6" s="10">
        <v>1</v>
      </c>
      <c r="I6" s="10">
        <v>0</v>
      </c>
      <c r="J6" s="23">
        <v>41</v>
      </c>
      <c r="K6" s="23">
        <v>2</v>
      </c>
      <c r="L6" s="23">
        <v>1</v>
      </c>
      <c r="M6" s="23">
        <v>0</v>
      </c>
      <c r="N6" s="23">
        <v>0</v>
      </c>
      <c r="O6" s="23">
        <v>6</v>
      </c>
      <c r="P6" s="94"/>
      <c r="Q6" s="23">
        <v>58</v>
      </c>
      <c r="R6" s="23">
        <v>170</v>
      </c>
      <c r="S6" s="34">
        <f t="shared" si="1"/>
        <v>20.069204152249139</v>
      </c>
      <c r="T6" s="27">
        <v>0</v>
      </c>
      <c r="U6" s="23">
        <v>0</v>
      </c>
      <c r="V6" s="23">
        <v>6</v>
      </c>
      <c r="W6" s="38">
        <v>44719.701388888898</v>
      </c>
      <c r="X6" s="38">
        <v>44719.710416666698</v>
      </c>
      <c r="Y6" s="38">
        <v>44719.7902777778</v>
      </c>
      <c r="Z6" s="38">
        <v>44719.798611111102</v>
      </c>
      <c r="AA6" s="39">
        <f t="shared" si="2"/>
        <v>13.000000031897798</v>
      </c>
      <c r="AB6" s="39">
        <f t="shared" si="3"/>
        <v>114.99999998719431</v>
      </c>
      <c r="AC6" s="39">
        <f t="shared" si="4"/>
        <v>128.00000001909211</v>
      </c>
      <c r="AD6" s="41">
        <v>0</v>
      </c>
      <c r="AE6" s="22">
        <v>1</v>
      </c>
      <c r="AF6" s="22">
        <v>6</v>
      </c>
      <c r="AG6" s="14">
        <v>2</v>
      </c>
      <c r="AH6" s="14">
        <v>1</v>
      </c>
      <c r="AI6" s="23">
        <v>0</v>
      </c>
      <c r="AJ6" s="23">
        <v>0</v>
      </c>
      <c r="AK6" s="23">
        <v>0</v>
      </c>
      <c r="AL6" s="23">
        <v>1</v>
      </c>
      <c r="AM6" s="10">
        <v>14</v>
      </c>
      <c r="AN6" s="10">
        <v>0</v>
      </c>
      <c r="AO6" s="10">
        <v>1000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1</v>
      </c>
      <c r="AZ6" s="10">
        <v>0</v>
      </c>
      <c r="BA6" s="10">
        <v>0</v>
      </c>
      <c r="BB6" s="10">
        <v>2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166</v>
      </c>
      <c r="BK6" s="12"/>
      <c r="BM6" s="23">
        <v>1</v>
      </c>
      <c r="BN6" s="23">
        <v>1</v>
      </c>
      <c r="BO6" s="23">
        <v>0</v>
      </c>
      <c r="BP6" s="23">
        <v>1</v>
      </c>
      <c r="BQ6" s="23">
        <v>1</v>
      </c>
      <c r="BR6" s="23">
        <v>0</v>
      </c>
      <c r="BS6" s="10">
        <v>0</v>
      </c>
      <c r="BT6" s="23"/>
      <c r="BU6" s="38">
        <v>44719.816666666702</v>
      </c>
      <c r="BV6" s="38">
        <v>44719.958333333299</v>
      </c>
      <c r="BW6" s="38">
        <v>44719.816666666702</v>
      </c>
      <c r="BX6" s="38">
        <v>44719.986111111102</v>
      </c>
      <c r="BY6" s="43"/>
      <c r="BZ6" s="102"/>
      <c r="CA6" s="102"/>
      <c r="CB6" s="23">
        <v>1</v>
      </c>
      <c r="CC6" s="23">
        <v>0</v>
      </c>
      <c r="CD6" s="23">
        <v>1</v>
      </c>
      <c r="CE6" s="23">
        <v>0</v>
      </c>
      <c r="CF6" s="23">
        <v>0</v>
      </c>
      <c r="CG6" s="23"/>
      <c r="CH6" s="102"/>
      <c r="CI6" s="10">
        <v>1</v>
      </c>
      <c r="CJ6" s="10">
        <v>0</v>
      </c>
      <c r="CK6" s="10">
        <v>0</v>
      </c>
      <c r="CL6" s="10">
        <v>1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1</v>
      </c>
      <c r="CV6" s="10">
        <v>0</v>
      </c>
      <c r="CW6" s="10">
        <v>0</v>
      </c>
      <c r="CX6" s="25">
        <v>0</v>
      </c>
      <c r="CY6" s="25">
        <v>5</v>
      </c>
      <c r="CZ6" s="25">
        <v>0</v>
      </c>
      <c r="DA6" s="25">
        <v>5</v>
      </c>
      <c r="DB6" s="25">
        <v>0</v>
      </c>
      <c r="DC6" s="105">
        <v>2</v>
      </c>
      <c r="DD6" s="25">
        <v>0</v>
      </c>
      <c r="DE6" s="105">
        <v>3</v>
      </c>
      <c r="DF6" s="25">
        <v>0</v>
      </c>
      <c r="DG6" s="105">
        <v>3</v>
      </c>
      <c r="DH6" s="28">
        <v>0</v>
      </c>
      <c r="DI6" s="28">
        <v>2</v>
      </c>
      <c r="DJ6" s="25">
        <v>0</v>
      </c>
      <c r="DK6" s="25">
        <v>0</v>
      </c>
      <c r="DL6" s="25">
        <v>0</v>
      </c>
      <c r="DM6" s="25">
        <v>1</v>
      </c>
      <c r="DN6" s="25">
        <v>1</v>
      </c>
      <c r="DO6" s="105"/>
      <c r="DP6" s="25">
        <v>0</v>
      </c>
      <c r="DQ6" s="105"/>
      <c r="DR6" s="25">
        <v>1</v>
      </c>
      <c r="DS6" s="105"/>
      <c r="DT6" s="103"/>
      <c r="DU6" s="103"/>
      <c r="DV6" s="103"/>
      <c r="DW6" s="103"/>
      <c r="DX6" s="26">
        <v>0</v>
      </c>
      <c r="DY6" s="10">
        <v>1.01</v>
      </c>
      <c r="DZ6" s="10">
        <v>0.36</v>
      </c>
      <c r="EB6" s="10">
        <v>287</v>
      </c>
      <c r="ED6" s="10">
        <v>146</v>
      </c>
      <c r="EE6" s="10">
        <v>7.2</v>
      </c>
      <c r="EF6" s="10">
        <v>110</v>
      </c>
      <c r="EG6" s="10">
        <v>642</v>
      </c>
      <c r="EH6" s="10">
        <v>330</v>
      </c>
      <c r="EI6" s="10">
        <v>420</v>
      </c>
      <c r="EJ6" s="10">
        <v>11</v>
      </c>
      <c r="EK6" s="10">
        <v>0.3</v>
      </c>
      <c r="EL6" s="10">
        <v>8.4</v>
      </c>
      <c r="EO6" s="94">
        <v>0</v>
      </c>
      <c r="EP6" s="10">
        <v>104</v>
      </c>
      <c r="EQ6" s="10">
        <v>52</v>
      </c>
      <c r="ES6" s="94" t="s">
        <v>867</v>
      </c>
      <c r="ET6" s="10">
        <v>0</v>
      </c>
      <c r="EU6" s="94"/>
      <c r="EV6" s="94"/>
      <c r="EW6" s="94"/>
      <c r="EZ6" s="13"/>
      <c r="FG6" s="10">
        <v>1</v>
      </c>
      <c r="FH6" s="10">
        <v>0</v>
      </c>
      <c r="FI6" s="10">
        <v>1</v>
      </c>
      <c r="FJ6" s="10">
        <v>1</v>
      </c>
      <c r="FK6" s="10">
        <v>0</v>
      </c>
      <c r="FL6" s="10">
        <v>0</v>
      </c>
      <c r="FM6" s="94"/>
      <c r="FN6" s="94"/>
      <c r="FO6" s="94"/>
      <c r="FP6" s="94"/>
      <c r="FQ6" s="94"/>
      <c r="FR6" s="94"/>
      <c r="FS6" s="94"/>
      <c r="FU6" s="94"/>
      <c r="FV6" s="94"/>
      <c r="FW6" s="94"/>
      <c r="FX6" s="94"/>
      <c r="FY6" s="94"/>
      <c r="FZ6" s="94"/>
      <c r="GA6" s="94"/>
      <c r="GC6" s="52" t="s">
        <v>847</v>
      </c>
      <c r="GD6" s="10" t="s">
        <v>846</v>
      </c>
    </row>
    <row r="7" spans="1:187" s="10" customFormat="1" ht="15" x14ac:dyDescent="0.2">
      <c r="A7" s="23">
        <v>13535044</v>
      </c>
      <c r="B7" s="22">
        <v>0</v>
      </c>
      <c r="C7" s="29">
        <v>43881</v>
      </c>
      <c r="D7" s="10">
        <v>32</v>
      </c>
      <c r="E7" s="10">
        <v>36</v>
      </c>
      <c r="F7" s="10">
        <v>32</v>
      </c>
      <c r="G7" s="10">
        <f t="shared" si="0"/>
        <v>0</v>
      </c>
      <c r="H7" s="10">
        <v>1</v>
      </c>
      <c r="I7" s="10">
        <v>0</v>
      </c>
      <c r="J7" s="23">
        <v>52</v>
      </c>
      <c r="K7" s="23">
        <v>0</v>
      </c>
      <c r="L7" s="23">
        <v>0</v>
      </c>
      <c r="M7" s="23">
        <v>1</v>
      </c>
      <c r="N7" s="23"/>
      <c r="O7" s="23">
        <v>0</v>
      </c>
      <c r="P7" s="94"/>
      <c r="Q7" s="23">
        <v>90</v>
      </c>
      <c r="R7" s="23">
        <v>180</v>
      </c>
      <c r="S7" s="34">
        <f t="shared" si="1"/>
        <v>27.777777777777775</v>
      </c>
      <c r="T7" s="27">
        <v>0</v>
      </c>
      <c r="U7" s="23">
        <v>0</v>
      </c>
      <c r="V7" s="23">
        <v>3</v>
      </c>
      <c r="W7" s="38">
        <v>43881.873611111099</v>
      </c>
      <c r="X7" s="38">
        <v>43881.883333333302</v>
      </c>
      <c r="Y7" s="38">
        <v>43881.927083333299</v>
      </c>
      <c r="Z7" s="38">
        <v>43881.932638888902</v>
      </c>
      <c r="AA7" s="39">
        <f t="shared" si="2"/>
        <v>13.999999972293153</v>
      </c>
      <c r="AB7" s="39">
        <f t="shared" si="3"/>
        <v>62.999999995809048</v>
      </c>
      <c r="AC7" s="39">
        <f t="shared" si="4"/>
        <v>76.999999968102202</v>
      </c>
      <c r="AD7" s="41">
        <v>0</v>
      </c>
      <c r="AE7" s="22">
        <v>1</v>
      </c>
      <c r="AF7" s="22">
        <v>0</v>
      </c>
      <c r="AG7" s="99">
        <v>1</v>
      </c>
      <c r="AH7" s="11">
        <v>1</v>
      </c>
      <c r="AI7" s="23">
        <v>0</v>
      </c>
      <c r="AJ7" s="23">
        <v>0</v>
      </c>
      <c r="AK7" s="23">
        <v>0</v>
      </c>
      <c r="AL7" s="23">
        <v>1</v>
      </c>
      <c r="AM7" s="10">
        <v>7</v>
      </c>
      <c r="AN7" s="10">
        <v>1</v>
      </c>
      <c r="AO7" s="94"/>
      <c r="AP7" s="10">
        <v>0</v>
      </c>
      <c r="AQ7" s="10">
        <v>0</v>
      </c>
      <c r="AR7" s="10">
        <v>0</v>
      </c>
      <c r="AS7" s="10">
        <v>0</v>
      </c>
      <c r="AT7" s="10">
        <v>1</v>
      </c>
      <c r="AU7" s="10">
        <v>0</v>
      </c>
      <c r="AV7" s="10">
        <v>0</v>
      </c>
      <c r="AW7" s="10">
        <v>1</v>
      </c>
      <c r="AX7" s="10">
        <v>4</v>
      </c>
      <c r="AY7" s="10">
        <v>0</v>
      </c>
      <c r="AZ7" s="10">
        <v>0</v>
      </c>
      <c r="BA7" s="10">
        <v>0</v>
      </c>
      <c r="BB7" s="10">
        <v>3</v>
      </c>
      <c r="BC7" s="10">
        <v>0</v>
      </c>
      <c r="BD7" s="10">
        <v>0</v>
      </c>
      <c r="BE7" s="10">
        <v>0</v>
      </c>
      <c r="BF7" s="10">
        <v>1</v>
      </c>
      <c r="BG7" s="10">
        <v>0</v>
      </c>
      <c r="BH7" s="10">
        <v>0</v>
      </c>
      <c r="BI7" s="10">
        <v>0</v>
      </c>
      <c r="BJ7" s="10">
        <v>114</v>
      </c>
      <c r="BK7" s="12">
        <v>560</v>
      </c>
      <c r="BM7" s="23">
        <v>1</v>
      </c>
      <c r="BN7" s="23">
        <v>0</v>
      </c>
      <c r="BO7" s="23">
        <v>0</v>
      </c>
      <c r="BP7" s="23">
        <v>1</v>
      </c>
      <c r="BQ7" s="23">
        <v>1</v>
      </c>
      <c r="BR7" s="23">
        <v>0</v>
      </c>
      <c r="BS7" s="10">
        <v>0</v>
      </c>
      <c r="BT7" s="23"/>
      <c r="BU7" s="38">
        <v>43881.965277777803</v>
      </c>
      <c r="BV7" s="38">
        <v>43882.100694444402</v>
      </c>
      <c r="BW7" s="38">
        <v>43882.086805555598</v>
      </c>
      <c r="BX7" s="38">
        <v>43882.114583333299</v>
      </c>
      <c r="BY7" s="38">
        <v>43882.100694444402</v>
      </c>
      <c r="BZ7" s="28">
        <v>0</v>
      </c>
      <c r="CA7" s="102"/>
      <c r="CB7" s="23">
        <v>1</v>
      </c>
      <c r="CC7" s="23">
        <v>0</v>
      </c>
      <c r="CD7" s="23">
        <v>1</v>
      </c>
      <c r="CE7" s="23">
        <v>0</v>
      </c>
      <c r="CF7" s="23">
        <v>0</v>
      </c>
      <c r="CG7" s="23"/>
      <c r="CH7" s="102"/>
      <c r="CI7" s="10">
        <v>1</v>
      </c>
      <c r="CJ7" s="10">
        <v>0</v>
      </c>
      <c r="CK7" s="10">
        <v>0</v>
      </c>
      <c r="CL7" s="10">
        <v>1</v>
      </c>
      <c r="CM7" s="10">
        <v>1</v>
      </c>
      <c r="CN7" s="10">
        <v>1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25">
        <v>0</v>
      </c>
      <c r="CY7" s="25">
        <v>1</v>
      </c>
      <c r="CZ7" s="25">
        <v>0</v>
      </c>
      <c r="DA7" s="25">
        <v>1</v>
      </c>
      <c r="DB7" s="25">
        <v>0</v>
      </c>
      <c r="DC7" s="25">
        <v>0</v>
      </c>
      <c r="DD7" s="25">
        <v>1</v>
      </c>
      <c r="DE7" s="25"/>
      <c r="DF7" s="25">
        <v>0</v>
      </c>
      <c r="DG7" s="105">
        <v>1</v>
      </c>
      <c r="DH7" s="28">
        <v>1</v>
      </c>
      <c r="DI7" s="28">
        <v>0</v>
      </c>
      <c r="DJ7" s="25">
        <v>0</v>
      </c>
      <c r="DK7" s="25">
        <v>0</v>
      </c>
      <c r="DL7" s="25">
        <v>0</v>
      </c>
      <c r="DM7" s="25">
        <v>0</v>
      </c>
      <c r="DN7" s="25">
        <v>0</v>
      </c>
      <c r="DO7" s="25">
        <v>0</v>
      </c>
      <c r="DP7" s="25">
        <v>0</v>
      </c>
      <c r="DQ7" s="25">
        <v>0</v>
      </c>
      <c r="DR7" s="25">
        <v>0</v>
      </c>
      <c r="DS7" s="25">
        <v>0</v>
      </c>
      <c r="DT7" s="26">
        <v>0</v>
      </c>
      <c r="DU7" s="26">
        <v>0</v>
      </c>
      <c r="DV7" s="26">
        <v>0</v>
      </c>
      <c r="DW7" s="26">
        <v>0</v>
      </c>
      <c r="DX7" s="26"/>
      <c r="DY7" s="10">
        <v>1.63</v>
      </c>
      <c r="DZ7" s="10">
        <v>1.07</v>
      </c>
      <c r="EA7" s="10">
        <v>162</v>
      </c>
      <c r="EB7" s="10">
        <v>228</v>
      </c>
      <c r="ED7" s="10">
        <v>148</v>
      </c>
      <c r="EE7" s="10">
        <v>3.7</v>
      </c>
      <c r="EF7" s="10">
        <v>98</v>
      </c>
      <c r="EG7" s="10">
        <v>573</v>
      </c>
      <c r="EH7" s="10">
        <v>161</v>
      </c>
      <c r="EI7" s="10">
        <v>153</v>
      </c>
      <c r="EJ7" s="10">
        <v>37</v>
      </c>
      <c r="EK7" s="10">
        <v>0.2</v>
      </c>
      <c r="EL7" s="10" t="s">
        <v>874</v>
      </c>
      <c r="EO7" s="94">
        <v>0</v>
      </c>
      <c r="EP7" s="10">
        <v>98</v>
      </c>
      <c r="EQ7" s="10">
        <v>23</v>
      </c>
      <c r="ES7" s="10">
        <v>5.8</v>
      </c>
      <c r="ET7" s="10">
        <v>0</v>
      </c>
      <c r="EU7" s="10">
        <v>0</v>
      </c>
      <c r="EV7" s="10">
        <v>8.5</v>
      </c>
      <c r="EW7" s="94"/>
      <c r="EZ7" s="13"/>
      <c r="FI7" s="10">
        <v>1</v>
      </c>
      <c r="FJ7" s="10">
        <v>1</v>
      </c>
      <c r="FK7" s="10">
        <v>1</v>
      </c>
      <c r="FL7" s="10">
        <v>2</v>
      </c>
      <c r="FM7" s="10">
        <v>0</v>
      </c>
      <c r="FN7" s="10">
        <v>0</v>
      </c>
      <c r="FO7" s="10">
        <v>0</v>
      </c>
      <c r="FP7" s="10">
        <v>0</v>
      </c>
      <c r="FQ7" s="10">
        <v>3</v>
      </c>
      <c r="FR7" s="10">
        <v>4</v>
      </c>
      <c r="FS7" s="10">
        <v>0</v>
      </c>
      <c r="FU7" s="10">
        <v>1</v>
      </c>
      <c r="FV7" s="10">
        <v>0</v>
      </c>
      <c r="FW7" s="10">
        <v>0</v>
      </c>
      <c r="FX7" s="10">
        <v>0</v>
      </c>
      <c r="FY7" s="10">
        <v>1</v>
      </c>
      <c r="FZ7" s="10">
        <v>0</v>
      </c>
      <c r="GA7" s="10">
        <v>52</v>
      </c>
      <c r="GC7" s="52"/>
      <c r="GD7" s="10" t="s">
        <v>485</v>
      </c>
    </row>
    <row r="8" spans="1:187" s="10" customFormat="1" ht="15" x14ac:dyDescent="0.2">
      <c r="A8" s="22">
        <v>13528840</v>
      </c>
      <c r="B8" s="22">
        <v>0</v>
      </c>
      <c r="C8" s="29">
        <v>43863</v>
      </c>
      <c r="D8" s="10">
        <v>5</v>
      </c>
      <c r="E8" s="10">
        <v>24</v>
      </c>
      <c r="F8" s="10">
        <v>16</v>
      </c>
      <c r="G8" s="10">
        <f t="shared" si="0"/>
        <v>11</v>
      </c>
      <c r="H8" s="10">
        <v>0</v>
      </c>
      <c r="I8" s="10">
        <v>0</v>
      </c>
      <c r="J8" s="23">
        <v>51</v>
      </c>
      <c r="K8" s="23">
        <v>1</v>
      </c>
      <c r="L8" s="23">
        <v>0</v>
      </c>
      <c r="M8" s="23">
        <v>1</v>
      </c>
      <c r="N8" s="23"/>
      <c r="O8" s="23">
        <v>2</v>
      </c>
      <c r="P8" s="94"/>
      <c r="Q8" s="23">
        <v>90</v>
      </c>
      <c r="R8" s="23">
        <v>175</v>
      </c>
      <c r="S8" s="34">
        <f t="shared" si="1"/>
        <v>29.387755102040817</v>
      </c>
      <c r="T8" s="27">
        <v>0</v>
      </c>
      <c r="U8" s="23">
        <v>0</v>
      </c>
      <c r="V8" s="23">
        <v>2</v>
      </c>
      <c r="W8" s="38">
        <v>43863.595138888901</v>
      </c>
      <c r="X8" s="38">
        <v>43863.602083333302</v>
      </c>
      <c r="Y8" s="38">
        <v>43863.679166666698</v>
      </c>
      <c r="Z8" s="38">
        <v>43863.679861111101</v>
      </c>
      <c r="AA8" s="39">
        <f t="shared" si="2"/>
        <v>9.9999999382998794</v>
      </c>
      <c r="AB8" s="39">
        <f t="shared" si="3"/>
        <v>111.00000008940697</v>
      </c>
      <c r="AC8" s="39">
        <f t="shared" si="4"/>
        <v>121.00000002770685</v>
      </c>
      <c r="AD8" s="41">
        <v>0</v>
      </c>
      <c r="AE8" s="22">
        <v>1</v>
      </c>
      <c r="AF8" s="22">
        <v>1</v>
      </c>
      <c r="AG8" s="14">
        <v>5</v>
      </c>
      <c r="AH8" s="14">
        <v>2</v>
      </c>
      <c r="AI8" s="23">
        <v>0</v>
      </c>
      <c r="AJ8" s="23">
        <v>0</v>
      </c>
      <c r="AK8" s="23">
        <v>0</v>
      </c>
      <c r="AL8" s="23">
        <v>1</v>
      </c>
      <c r="AM8" s="94">
        <v>9</v>
      </c>
      <c r="AN8" s="10">
        <v>0</v>
      </c>
      <c r="AO8" s="94"/>
      <c r="AP8" s="94">
        <v>0</v>
      </c>
      <c r="AQ8" s="94">
        <v>0</v>
      </c>
      <c r="AR8" s="94">
        <v>0</v>
      </c>
      <c r="AS8" s="94">
        <v>0</v>
      </c>
      <c r="AT8" s="94">
        <v>0</v>
      </c>
      <c r="AU8" s="94">
        <v>0</v>
      </c>
      <c r="AV8" s="94">
        <v>0</v>
      </c>
      <c r="AW8" s="94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1</v>
      </c>
      <c r="BD8" s="10">
        <v>0</v>
      </c>
      <c r="BE8" s="10">
        <v>0</v>
      </c>
      <c r="BF8" s="10">
        <v>1</v>
      </c>
      <c r="BG8" s="10">
        <v>1</v>
      </c>
      <c r="BH8" s="10">
        <v>0</v>
      </c>
      <c r="BI8" s="10">
        <f>-EB6381</f>
        <v>0</v>
      </c>
      <c r="BJ8" s="10">
        <v>157</v>
      </c>
      <c r="BK8" s="12"/>
      <c r="BM8" s="23">
        <v>1</v>
      </c>
      <c r="BN8" s="23">
        <v>0</v>
      </c>
      <c r="BO8" s="23">
        <v>0</v>
      </c>
      <c r="BP8" s="23">
        <v>0</v>
      </c>
      <c r="BQ8" s="23">
        <v>0</v>
      </c>
      <c r="BR8" s="23">
        <v>0</v>
      </c>
      <c r="BS8" s="10">
        <v>0</v>
      </c>
      <c r="BT8" s="23"/>
      <c r="BU8" s="38">
        <v>43863.704166666699</v>
      </c>
      <c r="BV8" s="44"/>
      <c r="BW8" s="38">
        <v>43863.822916666701</v>
      </c>
      <c r="BX8" s="38">
        <v>43863.870833333298</v>
      </c>
      <c r="BY8" s="38">
        <v>43863.870833333298</v>
      </c>
      <c r="BZ8" s="28">
        <v>0</v>
      </c>
      <c r="CA8" s="28">
        <v>0</v>
      </c>
      <c r="CB8" s="23">
        <v>0</v>
      </c>
      <c r="CC8" s="23"/>
      <c r="CD8" s="23">
        <v>0</v>
      </c>
      <c r="CE8" s="23"/>
      <c r="CF8" s="23">
        <v>0</v>
      </c>
      <c r="CG8" s="23"/>
      <c r="CH8" s="102">
        <v>0</v>
      </c>
      <c r="CI8" s="10">
        <v>1</v>
      </c>
      <c r="CJ8" s="10">
        <v>0</v>
      </c>
      <c r="CK8" s="10">
        <v>0</v>
      </c>
      <c r="CL8" s="10">
        <v>1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25">
        <v>0</v>
      </c>
      <c r="CY8" s="25">
        <v>3</v>
      </c>
      <c r="CZ8" s="25">
        <v>0</v>
      </c>
      <c r="DA8" s="25">
        <v>3</v>
      </c>
      <c r="DB8" s="25">
        <v>0</v>
      </c>
      <c r="DC8" s="25">
        <v>0</v>
      </c>
      <c r="DD8" s="25">
        <v>0</v>
      </c>
      <c r="DE8" s="105">
        <v>0</v>
      </c>
      <c r="DF8" s="25">
        <v>0</v>
      </c>
      <c r="DG8" s="105">
        <v>0</v>
      </c>
      <c r="DH8" s="28">
        <v>0</v>
      </c>
      <c r="DI8" s="28">
        <v>2</v>
      </c>
      <c r="DJ8" s="25">
        <v>0</v>
      </c>
      <c r="DK8" s="25">
        <v>0</v>
      </c>
      <c r="DL8" s="25">
        <v>0</v>
      </c>
      <c r="DM8" s="25">
        <v>0</v>
      </c>
      <c r="DN8" s="25">
        <v>1</v>
      </c>
      <c r="DO8" s="25">
        <v>0</v>
      </c>
      <c r="DP8" s="25">
        <v>0</v>
      </c>
      <c r="DQ8" s="25">
        <v>0</v>
      </c>
      <c r="DR8" s="25">
        <v>0</v>
      </c>
      <c r="DS8" s="25">
        <v>0</v>
      </c>
      <c r="DT8" s="26">
        <v>1</v>
      </c>
      <c r="DU8" s="26">
        <v>1</v>
      </c>
      <c r="DV8" s="26">
        <v>1</v>
      </c>
      <c r="DW8" s="26">
        <v>0</v>
      </c>
      <c r="DX8" s="26"/>
      <c r="DY8" s="10">
        <v>2.1</v>
      </c>
      <c r="DZ8" s="10">
        <v>1.04</v>
      </c>
      <c r="EA8" s="10">
        <v>366</v>
      </c>
      <c r="EB8" s="10">
        <v>398</v>
      </c>
      <c r="ED8" s="10">
        <v>137</v>
      </c>
      <c r="EE8" s="10">
        <v>5.6</v>
      </c>
      <c r="EF8" s="10">
        <v>108</v>
      </c>
      <c r="EG8" s="10">
        <v>2777</v>
      </c>
      <c r="EJ8" s="10">
        <v>132</v>
      </c>
      <c r="EL8" s="10">
        <v>8.4</v>
      </c>
      <c r="EM8" s="10">
        <v>12.7</v>
      </c>
      <c r="EN8" s="10">
        <v>2.7</v>
      </c>
      <c r="EO8" s="94">
        <v>0</v>
      </c>
      <c r="EP8" s="10">
        <v>73</v>
      </c>
      <c r="EQ8" s="10">
        <v>31</v>
      </c>
      <c r="ES8" s="10">
        <v>13.7</v>
      </c>
      <c r="ET8" s="10">
        <v>1</v>
      </c>
      <c r="EU8" s="10">
        <v>0</v>
      </c>
      <c r="EV8" s="10">
        <v>7</v>
      </c>
      <c r="EW8" s="10">
        <v>0</v>
      </c>
      <c r="EX8" s="10">
        <v>500</v>
      </c>
      <c r="EY8" s="10">
        <v>15</v>
      </c>
      <c r="EZ8" s="13" t="s">
        <v>673</v>
      </c>
      <c r="FD8" s="10">
        <v>7.11</v>
      </c>
      <c r="FE8" s="10">
        <v>7.48</v>
      </c>
      <c r="FF8" s="10" t="s">
        <v>536</v>
      </c>
      <c r="FI8" s="10">
        <v>1</v>
      </c>
      <c r="FJ8" s="10">
        <v>1</v>
      </c>
      <c r="FK8" s="10">
        <v>1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3</v>
      </c>
      <c r="FR8" s="10">
        <v>2</v>
      </c>
      <c r="FS8" s="10">
        <v>0</v>
      </c>
      <c r="FT8" s="10">
        <v>30</v>
      </c>
      <c r="FU8" s="10">
        <v>1</v>
      </c>
      <c r="FV8" s="10">
        <v>2</v>
      </c>
      <c r="FW8" s="10">
        <v>0</v>
      </c>
      <c r="FX8" s="10">
        <v>0</v>
      </c>
      <c r="FY8" s="10">
        <v>0</v>
      </c>
      <c r="FZ8" s="10">
        <v>1</v>
      </c>
      <c r="GA8" s="94"/>
      <c r="GC8" s="52" t="s">
        <v>537</v>
      </c>
      <c r="GD8" s="10" t="s">
        <v>532</v>
      </c>
    </row>
    <row r="9" spans="1:187" s="10" customFormat="1" ht="15" x14ac:dyDescent="0.2">
      <c r="A9" s="23">
        <v>13523446</v>
      </c>
      <c r="B9" s="22">
        <v>0</v>
      </c>
      <c r="C9" s="29">
        <v>43846</v>
      </c>
      <c r="H9" s="10">
        <v>0</v>
      </c>
      <c r="I9" s="10">
        <v>0</v>
      </c>
      <c r="J9" s="23">
        <v>57</v>
      </c>
      <c r="K9" s="23">
        <v>0</v>
      </c>
      <c r="L9" s="23">
        <v>0</v>
      </c>
      <c r="M9" s="23">
        <v>1</v>
      </c>
      <c r="N9" s="23"/>
      <c r="O9" s="23">
        <v>5</v>
      </c>
      <c r="P9" s="94"/>
      <c r="Q9" s="23">
        <v>80</v>
      </c>
      <c r="R9" s="23">
        <v>160</v>
      </c>
      <c r="S9" s="34">
        <f t="shared" si="1"/>
        <v>31.249999999999993</v>
      </c>
      <c r="T9" s="27">
        <v>0</v>
      </c>
      <c r="U9" s="23">
        <v>0</v>
      </c>
      <c r="V9" s="23">
        <v>2</v>
      </c>
      <c r="W9" s="38">
        <v>43846.536111111098</v>
      </c>
      <c r="X9" s="38">
        <v>43846.5444444444</v>
      </c>
      <c r="Y9" s="38">
        <v>43846.599305555603</v>
      </c>
      <c r="Z9" s="38">
        <v>43846.607638888898</v>
      </c>
      <c r="AA9" s="39">
        <f t="shared" si="2"/>
        <v>11.999999955296516</v>
      </c>
      <c r="AB9" s="39">
        <f t="shared" si="3"/>
        <v>79.000000131782144</v>
      </c>
      <c r="AC9" s="39">
        <f t="shared" si="4"/>
        <v>91.000000087078661</v>
      </c>
      <c r="AD9" s="41">
        <v>0</v>
      </c>
      <c r="AE9" s="22">
        <v>1</v>
      </c>
      <c r="AF9" s="98">
        <v>0</v>
      </c>
      <c r="AG9" s="14">
        <v>1</v>
      </c>
      <c r="AH9" s="14">
        <v>3</v>
      </c>
      <c r="AI9" s="23">
        <v>0</v>
      </c>
      <c r="AJ9" s="23">
        <v>0</v>
      </c>
      <c r="AK9" s="23">
        <v>0</v>
      </c>
      <c r="AL9" s="23">
        <v>1</v>
      </c>
      <c r="AM9" s="10">
        <v>12</v>
      </c>
      <c r="AN9" s="10">
        <v>0</v>
      </c>
      <c r="AO9" s="10">
        <v>500</v>
      </c>
      <c r="AP9" s="94">
        <v>0</v>
      </c>
      <c r="AQ9" s="94">
        <v>0</v>
      </c>
      <c r="AR9" s="94">
        <v>0</v>
      </c>
      <c r="AS9" s="94">
        <v>0</v>
      </c>
      <c r="AT9" s="94">
        <v>0</v>
      </c>
      <c r="AU9" s="94">
        <v>0</v>
      </c>
      <c r="AV9" s="94">
        <v>0</v>
      </c>
      <c r="AW9" s="94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1</v>
      </c>
      <c r="BD9" s="10">
        <v>1</v>
      </c>
      <c r="BE9" s="10">
        <v>0</v>
      </c>
      <c r="BF9" s="10">
        <v>1</v>
      </c>
      <c r="BG9" s="10">
        <v>1</v>
      </c>
      <c r="BH9" s="10">
        <v>0</v>
      </c>
      <c r="BI9" s="10">
        <v>0</v>
      </c>
      <c r="BJ9" s="10">
        <v>127</v>
      </c>
      <c r="BK9" s="12"/>
      <c r="BM9" s="23">
        <v>1</v>
      </c>
      <c r="BN9" s="23">
        <v>0</v>
      </c>
      <c r="BO9" s="23">
        <v>0</v>
      </c>
      <c r="BP9" s="23">
        <v>0</v>
      </c>
      <c r="BQ9" s="23">
        <v>0</v>
      </c>
      <c r="BR9" s="23">
        <v>0</v>
      </c>
      <c r="BS9" s="10">
        <v>0</v>
      </c>
      <c r="BT9" s="23">
        <v>0</v>
      </c>
      <c r="BU9" s="38">
        <v>43846.624305555597</v>
      </c>
      <c r="BV9" s="44"/>
      <c r="BW9" s="38">
        <v>43846.727083333302</v>
      </c>
      <c r="BX9" s="38">
        <v>43846.75</v>
      </c>
      <c r="BY9" s="38">
        <v>43846.75</v>
      </c>
      <c r="BZ9" s="28">
        <v>0</v>
      </c>
      <c r="CA9" s="28">
        <v>0</v>
      </c>
      <c r="CB9" s="23">
        <v>1</v>
      </c>
      <c r="CC9" s="23">
        <v>0</v>
      </c>
      <c r="CD9" s="23">
        <v>1</v>
      </c>
      <c r="CE9" s="23">
        <v>0</v>
      </c>
      <c r="CF9" s="23">
        <v>0</v>
      </c>
      <c r="CG9" s="23"/>
      <c r="CH9" s="102">
        <v>0</v>
      </c>
      <c r="CI9" s="10">
        <v>1</v>
      </c>
      <c r="CJ9" s="10">
        <v>0</v>
      </c>
      <c r="CK9" s="10">
        <v>0</v>
      </c>
      <c r="CL9" s="10">
        <v>1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25">
        <v>0</v>
      </c>
      <c r="CY9" s="25">
        <v>0</v>
      </c>
      <c r="CZ9" s="25">
        <v>0</v>
      </c>
      <c r="DA9" s="25">
        <v>0</v>
      </c>
      <c r="DB9" s="25">
        <v>0</v>
      </c>
      <c r="DC9" s="10">
        <v>2</v>
      </c>
      <c r="DD9" s="25">
        <v>0</v>
      </c>
      <c r="DE9" s="105">
        <v>0</v>
      </c>
      <c r="DF9" s="25">
        <v>0</v>
      </c>
      <c r="DG9" s="105">
        <v>1</v>
      </c>
      <c r="DH9" s="28">
        <v>0</v>
      </c>
      <c r="DI9" s="28">
        <v>2</v>
      </c>
      <c r="DJ9" s="25">
        <v>0</v>
      </c>
      <c r="DK9" s="25">
        <v>0</v>
      </c>
      <c r="DL9" s="25">
        <v>0</v>
      </c>
      <c r="DM9" s="25">
        <v>0</v>
      </c>
      <c r="DN9" s="25">
        <v>0</v>
      </c>
      <c r="DO9" s="25">
        <v>0</v>
      </c>
      <c r="DP9" s="25">
        <v>0</v>
      </c>
      <c r="DQ9" s="25">
        <v>0</v>
      </c>
      <c r="DR9" s="25">
        <v>0</v>
      </c>
      <c r="DS9" s="25">
        <v>0</v>
      </c>
      <c r="DT9" s="26">
        <v>0</v>
      </c>
      <c r="DU9" s="26">
        <v>0</v>
      </c>
      <c r="DV9" s="26">
        <v>0</v>
      </c>
      <c r="DW9" s="26">
        <v>0</v>
      </c>
      <c r="DX9" s="26"/>
      <c r="DY9" s="10">
        <v>1.38</v>
      </c>
      <c r="DZ9" s="10">
        <v>0.89</v>
      </c>
      <c r="EB9" s="10">
        <v>369</v>
      </c>
      <c r="ED9" s="10">
        <v>142</v>
      </c>
      <c r="EE9" s="10">
        <v>6.6</v>
      </c>
      <c r="EF9" s="10">
        <v>99</v>
      </c>
      <c r="EH9" s="10">
        <v>158</v>
      </c>
      <c r="EJ9" s="10">
        <v>121</v>
      </c>
      <c r="EL9" s="10">
        <v>8.4</v>
      </c>
      <c r="EM9" s="10">
        <v>9.9</v>
      </c>
      <c r="EN9" s="10">
        <v>2.7</v>
      </c>
      <c r="EO9" s="94">
        <v>0</v>
      </c>
      <c r="EP9" s="10">
        <v>69</v>
      </c>
      <c r="EQ9" s="10">
        <v>49</v>
      </c>
      <c r="ES9" s="108" t="s">
        <v>869</v>
      </c>
      <c r="ET9" s="10">
        <v>0</v>
      </c>
      <c r="EU9" s="10">
        <v>0</v>
      </c>
      <c r="EV9" s="10">
        <v>8</v>
      </c>
      <c r="EW9" s="94"/>
      <c r="EZ9" s="13"/>
      <c r="FD9" s="10">
        <v>7.12</v>
      </c>
      <c r="FE9" s="10">
        <v>7.56</v>
      </c>
      <c r="FF9" s="10" t="s">
        <v>539</v>
      </c>
      <c r="FI9" s="10">
        <v>1</v>
      </c>
      <c r="FJ9" s="10">
        <v>1</v>
      </c>
      <c r="FK9" s="10">
        <v>1</v>
      </c>
      <c r="FL9" s="10">
        <v>0</v>
      </c>
      <c r="FM9" s="10">
        <v>1</v>
      </c>
      <c r="FN9" s="10">
        <v>1</v>
      </c>
      <c r="FO9" s="10">
        <v>0</v>
      </c>
      <c r="FP9" s="10">
        <v>0</v>
      </c>
      <c r="FQ9" s="10">
        <v>4</v>
      </c>
      <c r="FR9" s="10">
        <v>1</v>
      </c>
      <c r="FS9" s="10">
        <v>0</v>
      </c>
      <c r="FU9" s="10">
        <v>1</v>
      </c>
      <c r="FV9" s="10">
        <v>1</v>
      </c>
      <c r="FW9" s="10">
        <v>0</v>
      </c>
      <c r="FX9" s="10">
        <v>0</v>
      </c>
      <c r="FY9" s="10">
        <v>0</v>
      </c>
      <c r="FZ9" s="94"/>
      <c r="GA9" s="94"/>
      <c r="GC9" s="52">
        <v>1</v>
      </c>
      <c r="GD9" s="10" t="s">
        <v>490</v>
      </c>
      <c r="GE9" s="10" t="s">
        <v>508</v>
      </c>
    </row>
    <row r="10" spans="1:187" s="10" customFormat="1" ht="15" x14ac:dyDescent="0.2">
      <c r="A10" s="23">
        <v>13522444</v>
      </c>
      <c r="B10" s="22">
        <v>0</v>
      </c>
      <c r="C10" s="29">
        <v>43845</v>
      </c>
      <c r="D10" s="10">
        <v>20</v>
      </c>
      <c r="E10" s="10">
        <v>28</v>
      </c>
      <c r="F10" s="10">
        <v>14</v>
      </c>
      <c r="G10" s="10">
        <f t="shared" si="0"/>
        <v>-6</v>
      </c>
      <c r="H10" s="10">
        <v>0</v>
      </c>
      <c r="I10" s="10">
        <v>0</v>
      </c>
      <c r="J10" s="23">
        <v>57</v>
      </c>
      <c r="K10" s="23">
        <v>0</v>
      </c>
      <c r="L10" s="23">
        <v>0</v>
      </c>
      <c r="M10" s="23">
        <v>1</v>
      </c>
      <c r="N10" s="23"/>
      <c r="O10" s="23">
        <v>5</v>
      </c>
      <c r="P10" s="94"/>
      <c r="Q10" s="23">
        <v>70</v>
      </c>
      <c r="R10" s="23">
        <v>170</v>
      </c>
      <c r="S10" s="34">
        <f t="shared" si="1"/>
        <v>24.221453287197235</v>
      </c>
      <c r="T10" s="27">
        <v>0</v>
      </c>
      <c r="U10" s="23">
        <v>0</v>
      </c>
      <c r="V10" s="23">
        <v>2</v>
      </c>
      <c r="W10" s="38">
        <v>43844.791666666701</v>
      </c>
      <c r="X10" s="38">
        <v>43844.801388888904</v>
      </c>
      <c r="Y10" s="38">
        <v>43844.868055555598</v>
      </c>
      <c r="Z10" s="38">
        <v>43844.872916666704</v>
      </c>
      <c r="AA10" s="39">
        <f t="shared" si="2"/>
        <v>13.999999972293153</v>
      </c>
      <c r="AB10" s="39">
        <f t="shared" si="3"/>
        <v>96.000000040512532</v>
      </c>
      <c r="AC10" s="39">
        <f t="shared" si="4"/>
        <v>110.00000001280569</v>
      </c>
      <c r="AD10" s="41">
        <v>0</v>
      </c>
      <c r="AE10" s="22">
        <v>1</v>
      </c>
      <c r="AF10" s="22">
        <v>3</v>
      </c>
      <c r="AG10" s="14">
        <v>1</v>
      </c>
      <c r="AH10" s="14">
        <v>1</v>
      </c>
      <c r="AI10" s="23">
        <v>0</v>
      </c>
      <c r="AJ10" s="23">
        <v>0</v>
      </c>
      <c r="AK10" s="23">
        <v>0</v>
      </c>
      <c r="AL10" s="23">
        <v>1</v>
      </c>
      <c r="AM10" s="10">
        <v>9</v>
      </c>
      <c r="AN10" s="10">
        <v>0</v>
      </c>
      <c r="AO10" s="94"/>
      <c r="AP10" s="94">
        <v>0</v>
      </c>
      <c r="AQ10" s="94">
        <v>0</v>
      </c>
      <c r="AR10" s="94">
        <v>0</v>
      </c>
      <c r="AS10" s="94">
        <v>0</v>
      </c>
      <c r="AT10" s="94">
        <v>0</v>
      </c>
      <c r="AU10" s="94">
        <v>0</v>
      </c>
      <c r="AV10" s="94">
        <v>0</v>
      </c>
      <c r="AW10" s="94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94"/>
      <c r="BI10" s="10">
        <v>0</v>
      </c>
      <c r="BJ10" s="10">
        <v>162</v>
      </c>
      <c r="BK10" s="12"/>
      <c r="BM10" s="23">
        <v>1</v>
      </c>
      <c r="BN10" s="23">
        <v>0</v>
      </c>
      <c r="BO10" s="23">
        <v>0</v>
      </c>
      <c r="BP10" s="23">
        <v>0</v>
      </c>
      <c r="BQ10" s="23">
        <v>0</v>
      </c>
      <c r="BR10" s="23">
        <v>0</v>
      </c>
      <c r="BS10" s="10">
        <v>0</v>
      </c>
      <c r="BT10" s="23"/>
      <c r="BU10" s="38">
        <v>43844.904166666704</v>
      </c>
      <c r="BV10" s="38">
        <v>43845.083333333299</v>
      </c>
      <c r="BW10" s="38">
        <v>43845.038194444402</v>
      </c>
      <c r="BX10" s="38">
        <v>43845.083333333299</v>
      </c>
      <c r="BY10" s="38">
        <v>43845.083333333299</v>
      </c>
      <c r="BZ10" s="28">
        <v>0</v>
      </c>
      <c r="CA10" s="102"/>
      <c r="CB10" s="23">
        <v>0</v>
      </c>
      <c r="CC10" s="23"/>
      <c r="CD10" s="23">
        <v>0</v>
      </c>
      <c r="CE10" s="23"/>
      <c r="CF10" s="23">
        <v>0</v>
      </c>
      <c r="CG10" s="23"/>
      <c r="CH10" s="102">
        <v>0</v>
      </c>
      <c r="CI10" s="10">
        <v>1</v>
      </c>
      <c r="CJ10" s="10">
        <v>0</v>
      </c>
      <c r="CK10" s="10">
        <v>0</v>
      </c>
      <c r="CL10" s="10">
        <v>1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25">
        <v>0</v>
      </c>
      <c r="CY10" s="25">
        <v>2</v>
      </c>
      <c r="CZ10" s="25">
        <v>0</v>
      </c>
      <c r="DA10" s="25">
        <v>2</v>
      </c>
      <c r="DB10" s="25">
        <v>0</v>
      </c>
      <c r="DC10" s="105">
        <v>2</v>
      </c>
      <c r="DD10" s="25">
        <v>0</v>
      </c>
      <c r="DE10" s="105">
        <v>1</v>
      </c>
      <c r="DF10" s="25">
        <v>0</v>
      </c>
      <c r="DG10" s="105">
        <v>1</v>
      </c>
      <c r="DH10" s="28">
        <v>0</v>
      </c>
      <c r="DI10" s="28">
        <v>2</v>
      </c>
      <c r="DJ10" s="25">
        <v>0</v>
      </c>
      <c r="DK10" s="25">
        <v>0</v>
      </c>
      <c r="DL10" s="25">
        <v>0</v>
      </c>
      <c r="DM10" s="25">
        <v>0</v>
      </c>
      <c r="DN10" s="25">
        <v>0</v>
      </c>
      <c r="DO10" s="25">
        <v>0</v>
      </c>
      <c r="DP10" s="25">
        <v>0</v>
      </c>
      <c r="DQ10" s="25">
        <v>0</v>
      </c>
      <c r="DR10" s="25">
        <v>1</v>
      </c>
      <c r="DS10" s="25">
        <v>0</v>
      </c>
      <c r="DT10" s="26">
        <v>0</v>
      </c>
      <c r="DU10" s="26">
        <v>0</v>
      </c>
      <c r="DV10" s="26">
        <v>0</v>
      </c>
      <c r="DW10" s="26">
        <v>0</v>
      </c>
      <c r="DX10" s="26"/>
      <c r="DY10" s="10">
        <v>1.54</v>
      </c>
      <c r="DZ10" s="10">
        <v>0.75</v>
      </c>
      <c r="EB10" s="10">
        <v>591</v>
      </c>
      <c r="ED10" s="10">
        <v>139</v>
      </c>
      <c r="EE10" s="10">
        <v>6.5</v>
      </c>
      <c r="EF10" s="10">
        <v>98</v>
      </c>
      <c r="EG10" s="10">
        <v>1143</v>
      </c>
      <c r="EH10" s="10">
        <v>75</v>
      </c>
      <c r="EI10" s="10">
        <v>104</v>
      </c>
      <c r="EJ10" s="10">
        <v>97</v>
      </c>
      <c r="EL10" s="10">
        <v>9.6999999999999993</v>
      </c>
      <c r="EM10" s="10">
        <v>15.6</v>
      </c>
      <c r="EN10" s="10">
        <v>3.4</v>
      </c>
      <c r="EO10" s="94">
        <v>0</v>
      </c>
      <c r="EP10" s="94">
        <v>128</v>
      </c>
      <c r="EQ10" s="10">
        <v>48</v>
      </c>
      <c r="ES10" s="108" t="s">
        <v>870</v>
      </c>
      <c r="ET10" s="10">
        <v>0</v>
      </c>
      <c r="EU10" s="10">
        <v>1</v>
      </c>
      <c r="EV10" s="10">
        <v>7.5</v>
      </c>
      <c r="EW10" s="94"/>
      <c r="EY10" s="10">
        <v>18</v>
      </c>
      <c r="EZ10" s="13"/>
      <c r="FD10" s="10">
        <v>7</v>
      </c>
      <c r="FE10" s="10">
        <v>7.37</v>
      </c>
      <c r="FF10" s="10" t="s">
        <v>539</v>
      </c>
      <c r="FI10" s="10">
        <v>1</v>
      </c>
      <c r="FJ10" s="10">
        <v>1</v>
      </c>
      <c r="FK10" s="10">
        <v>1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4</v>
      </c>
      <c r="FR10" s="10">
        <v>1</v>
      </c>
      <c r="FS10" s="10">
        <v>0</v>
      </c>
      <c r="FU10" s="10">
        <v>2</v>
      </c>
      <c r="FV10" s="10">
        <v>1</v>
      </c>
      <c r="FW10" s="10">
        <v>0</v>
      </c>
      <c r="FX10" s="10">
        <v>0</v>
      </c>
      <c r="FY10" s="10">
        <v>1</v>
      </c>
      <c r="FZ10" s="10">
        <v>0</v>
      </c>
      <c r="GA10" s="94"/>
      <c r="GC10" s="52"/>
      <c r="GD10" s="10" t="s">
        <v>541</v>
      </c>
    </row>
    <row r="11" spans="1:187" s="10" customFormat="1" ht="15" x14ac:dyDescent="0.2">
      <c r="A11" s="23">
        <v>13520764</v>
      </c>
      <c r="B11" s="22">
        <v>0</v>
      </c>
      <c r="C11" s="29">
        <v>43838</v>
      </c>
      <c r="D11" s="10">
        <v>29</v>
      </c>
      <c r="E11" s="10">
        <v>30</v>
      </c>
      <c r="F11" s="10">
        <v>14</v>
      </c>
      <c r="G11" s="10">
        <f t="shared" si="0"/>
        <v>-15</v>
      </c>
      <c r="H11" s="10">
        <v>0</v>
      </c>
      <c r="I11" s="10">
        <v>0</v>
      </c>
      <c r="J11" s="23">
        <v>57</v>
      </c>
      <c r="K11" s="23">
        <v>1</v>
      </c>
      <c r="L11" s="23">
        <v>1</v>
      </c>
      <c r="M11" s="23">
        <v>1</v>
      </c>
      <c r="N11" s="23"/>
      <c r="O11" s="23">
        <v>0</v>
      </c>
      <c r="P11" s="94"/>
      <c r="Q11" s="23">
        <v>90</v>
      </c>
      <c r="R11" s="23">
        <v>160</v>
      </c>
      <c r="S11" s="34">
        <f t="shared" si="1"/>
        <v>35.156249999999993</v>
      </c>
      <c r="T11" s="27">
        <v>0</v>
      </c>
      <c r="U11" s="23">
        <v>0</v>
      </c>
      <c r="V11" s="23">
        <v>2</v>
      </c>
      <c r="W11" s="38">
        <v>43838.46875</v>
      </c>
      <c r="X11" s="38">
        <v>43838.46875</v>
      </c>
      <c r="Y11" s="38">
        <v>43838.482638888898</v>
      </c>
      <c r="Z11" s="38">
        <v>43838.503472222197</v>
      </c>
      <c r="AA11" s="39">
        <f t="shared" si="2"/>
        <v>0</v>
      </c>
      <c r="AB11" s="39">
        <f t="shared" si="3"/>
        <v>20.000000012805685</v>
      </c>
      <c r="AC11" s="39">
        <f t="shared" si="4"/>
        <v>20.000000012805685</v>
      </c>
      <c r="AD11" s="41">
        <v>1</v>
      </c>
      <c r="AE11" s="22">
        <v>2</v>
      </c>
      <c r="AF11" s="22"/>
      <c r="AG11" s="14">
        <v>5</v>
      </c>
      <c r="AH11" s="14">
        <v>3</v>
      </c>
      <c r="AI11" s="23">
        <v>0</v>
      </c>
      <c r="AJ11" s="23">
        <v>0</v>
      </c>
      <c r="AK11" s="23">
        <v>0</v>
      </c>
      <c r="AL11" s="23">
        <v>1</v>
      </c>
      <c r="AM11" s="10">
        <v>9</v>
      </c>
      <c r="AN11" s="10">
        <v>0</v>
      </c>
      <c r="AO11" s="94"/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1</v>
      </c>
      <c r="BC11" s="10">
        <v>0</v>
      </c>
      <c r="BD11" s="10">
        <v>1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84</v>
      </c>
      <c r="BK11" s="12"/>
      <c r="BM11" s="23">
        <v>1</v>
      </c>
      <c r="BN11" s="23">
        <v>0</v>
      </c>
      <c r="BO11" s="23">
        <v>0</v>
      </c>
      <c r="BP11" s="23">
        <v>0</v>
      </c>
      <c r="BQ11" s="23">
        <v>0</v>
      </c>
      <c r="BR11" s="23">
        <v>0</v>
      </c>
      <c r="BS11" s="10">
        <v>0</v>
      </c>
      <c r="BT11" s="23"/>
      <c r="BU11" s="38">
        <v>43838.527083333298</v>
      </c>
      <c r="BV11" s="38">
        <v>43838.527083333298</v>
      </c>
      <c r="BW11" s="38">
        <v>43838.663194444402</v>
      </c>
      <c r="BX11" s="38">
        <v>43838.697916666701</v>
      </c>
      <c r="BY11" s="38">
        <v>43838.697916666701</v>
      </c>
      <c r="BZ11" s="28">
        <v>0</v>
      </c>
      <c r="CA11" s="28">
        <v>0</v>
      </c>
      <c r="CB11" s="23">
        <v>1</v>
      </c>
      <c r="CC11" s="23">
        <v>0</v>
      </c>
      <c r="CD11" s="23">
        <v>1</v>
      </c>
      <c r="CE11" s="23">
        <v>0</v>
      </c>
      <c r="CF11" s="23">
        <v>0</v>
      </c>
      <c r="CG11" s="23"/>
      <c r="CH11" s="102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25">
        <v>0</v>
      </c>
      <c r="CY11" s="25">
        <v>2</v>
      </c>
      <c r="CZ11" s="25">
        <v>0</v>
      </c>
      <c r="DA11" s="25">
        <v>2</v>
      </c>
      <c r="DB11" s="25">
        <v>0</v>
      </c>
      <c r="DC11" s="25">
        <v>1</v>
      </c>
      <c r="DD11" s="25">
        <v>0</v>
      </c>
      <c r="DE11" s="105">
        <v>0</v>
      </c>
      <c r="DF11" s="25">
        <v>0</v>
      </c>
      <c r="DG11" s="105">
        <v>0</v>
      </c>
      <c r="DH11" s="28">
        <v>0</v>
      </c>
      <c r="DI11" s="28">
        <v>2</v>
      </c>
      <c r="DJ11" s="25">
        <v>0</v>
      </c>
      <c r="DK11" s="25">
        <v>0</v>
      </c>
      <c r="DL11" s="25">
        <v>0</v>
      </c>
      <c r="DM11" s="25">
        <v>0</v>
      </c>
      <c r="DN11" s="25">
        <v>0</v>
      </c>
      <c r="DO11" s="25">
        <v>0</v>
      </c>
      <c r="DP11" s="25">
        <v>0</v>
      </c>
      <c r="DQ11" s="25">
        <v>0</v>
      </c>
      <c r="DR11" s="25">
        <v>1</v>
      </c>
      <c r="DS11" s="105"/>
      <c r="DT11" s="26">
        <v>1</v>
      </c>
      <c r="DU11" s="26">
        <v>1</v>
      </c>
      <c r="DV11" s="26">
        <v>1</v>
      </c>
      <c r="DW11" s="26">
        <v>0</v>
      </c>
      <c r="DX11" s="26"/>
      <c r="DY11" s="10">
        <v>1.66</v>
      </c>
      <c r="DZ11" s="10">
        <v>0.95</v>
      </c>
      <c r="EA11" s="10">
        <v>388</v>
      </c>
      <c r="EB11" s="10">
        <v>462</v>
      </c>
      <c r="ED11" s="10">
        <v>139</v>
      </c>
      <c r="EE11" s="10">
        <v>5.0999999999999996</v>
      </c>
      <c r="EF11" s="10">
        <v>101</v>
      </c>
      <c r="EH11" s="10">
        <v>294</v>
      </c>
      <c r="EJ11" s="10">
        <v>74</v>
      </c>
      <c r="EL11" s="10">
        <v>9.4</v>
      </c>
      <c r="EM11" s="10">
        <v>13.2</v>
      </c>
      <c r="EN11" s="10">
        <v>3.3</v>
      </c>
      <c r="EO11" s="94"/>
      <c r="ET11" s="10">
        <v>1</v>
      </c>
      <c r="EU11" s="10">
        <v>0</v>
      </c>
      <c r="EV11" s="10">
        <v>7.5</v>
      </c>
      <c r="EW11" s="10">
        <v>1</v>
      </c>
      <c r="EX11" s="10">
        <v>800</v>
      </c>
      <c r="EY11" s="10">
        <v>15</v>
      </c>
      <c r="EZ11" s="13" t="s">
        <v>865</v>
      </c>
      <c r="FA11" s="10">
        <v>1</v>
      </c>
      <c r="FD11" s="10">
        <v>7.32</v>
      </c>
      <c r="FE11" s="10">
        <v>7.47</v>
      </c>
      <c r="FF11" s="10" t="s">
        <v>542</v>
      </c>
      <c r="FI11" s="10">
        <v>1</v>
      </c>
      <c r="FJ11" s="10">
        <v>1</v>
      </c>
      <c r="FK11" s="10">
        <v>1</v>
      </c>
      <c r="FL11" s="10">
        <v>2</v>
      </c>
      <c r="FM11" s="10">
        <v>0</v>
      </c>
      <c r="FN11" s="10">
        <v>0</v>
      </c>
      <c r="FO11" s="10">
        <v>0</v>
      </c>
      <c r="FP11" s="10">
        <v>0</v>
      </c>
      <c r="FQ11" s="10">
        <v>5</v>
      </c>
      <c r="FR11" s="10">
        <v>2</v>
      </c>
      <c r="FS11" s="10">
        <v>0</v>
      </c>
      <c r="FT11" s="10">
        <v>180</v>
      </c>
      <c r="FU11" s="10">
        <v>1</v>
      </c>
      <c r="FV11" s="10">
        <v>0</v>
      </c>
      <c r="FW11" s="94">
        <v>0</v>
      </c>
      <c r="FX11" s="10">
        <v>0</v>
      </c>
      <c r="FY11" s="10">
        <v>2</v>
      </c>
      <c r="FZ11" s="10">
        <v>0</v>
      </c>
      <c r="GA11" s="94"/>
      <c r="GC11" s="52"/>
      <c r="GD11" s="10" t="s">
        <v>540</v>
      </c>
      <c r="GE11" s="10" t="s">
        <v>543</v>
      </c>
    </row>
    <row r="12" spans="1:187" s="10" customFormat="1" ht="15" x14ac:dyDescent="0.2">
      <c r="A12" s="23">
        <v>13520941</v>
      </c>
      <c r="B12" s="22">
        <v>0</v>
      </c>
      <c r="C12" s="29">
        <v>43837</v>
      </c>
      <c r="D12" s="10">
        <v>9</v>
      </c>
      <c r="E12" s="10">
        <v>13</v>
      </c>
      <c r="F12" s="10">
        <v>10</v>
      </c>
      <c r="G12" s="10">
        <f t="shared" si="0"/>
        <v>1</v>
      </c>
      <c r="H12" s="10">
        <v>1</v>
      </c>
      <c r="I12" s="10">
        <v>0</v>
      </c>
      <c r="J12" s="23">
        <v>34</v>
      </c>
      <c r="K12" s="23">
        <v>0</v>
      </c>
      <c r="L12" s="23">
        <v>0</v>
      </c>
      <c r="M12" s="23">
        <v>1</v>
      </c>
      <c r="N12" s="23"/>
      <c r="O12" s="23">
        <v>5</v>
      </c>
      <c r="P12" s="94"/>
      <c r="Q12" s="23">
        <v>75</v>
      </c>
      <c r="R12" s="23">
        <v>175</v>
      </c>
      <c r="S12" s="34">
        <f t="shared" si="1"/>
        <v>24.489795918367346</v>
      </c>
      <c r="T12" s="27">
        <v>0</v>
      </c>
      <c r="U12" s="23">
        <v>1</v>
      </c>
      <c r="V12" s="23">
        <v>2</v>
      </c>
      <c r="W12" s="38">
        <v>43837.725694444402</v>
      </c>
      <c r="X12" s="38">
        <v>43837.725694444402</v>
      </c>
      <c r="Y12" s="38">
        <v>43837.777777777803</v>
      </c>
      <c r="Z12" s="38">
        <v>43837.78125</v>
      </c>
      <c r="AA12" s="39">
        <f t="shared" si="2"/>
        <v>0</v>
      </c>
      <c r="AB12" s="39">
        <f t="shared" si="3"/>
        <v>75.00000009778887</v>
      </c>
      <c r="AC12" s="39">
        <f t="shared" si="4"/>
        <v>75.00000009778887</v>
      </c>
      <c r="AD12" s="41">
        <v>1</v>
      </c>
      <c r="AE12" s="22">
        <v>2</v>
      </c>
      <c r="AF12" s="22"/>
      <c r="AG12" s="99">
        <v>8</v>
      </c>
      <c r="AH12" s="11">
        <v>1</v>
      </c>
      <c r="AI12" s="96">
        <v>1</v>
      </c>
      <c r="AJ12" s="96"/>
      <c r="AK12" s="23">
        <v>0</v>
      </c>
      <c r="AL12" s="23">
        <v>1</v>
      </c>
      <c r="AM12" s="10">
        <v>14</v>
      </c>
      <c r="AN12" s="10">
        <v>0</v>
      </c>
      <c r="AO12" s="10">
        <v>700</v>
      </c>
      <c r="AP12" s="10">
        <v>0</v>
      </c>
      <c r="AQ12" s="10">
        <v>1</v>
      </c>
      <c r="AR12" s="10">
        <v>0</v>
      </c>
      <c r="AS12" s="10">
        <v>0</v>
      </c>
      <c r="AT12" s="10">
        <v>0</v>
      </c>
      <c r="AU12" s="10">
        <v>1</v>
      </c>
      <c r="AV12" s="10">
        <v>0</v>
      </c>
      <c r="AW12" s="10">
        <v>1</v>
      </c>
      <c r="AX12" s="10">
        <v>1</v>
      </c>
      <c r="AY12" s="10">
        <v>0</v>
      </c>
      <c r="AZ12" s="10">
        <v>0</v>
      </c>
      <c r="BA12" s="10">
        <v>0</v>
      </c>
      <c r="BB12" s="10">
        <v>3</v>
      </c>
      <c r="BC12" s="10">
        <v>0</v>
      </c>
      <c r="BD12" s="10">
        <v>1</v>
      </c>
      <c r="BE12" s="10">
        <v>0</v>
      </c>
      <c r="BF12" s="10">
        <v>0</v>
      </c>
      <c r="BG12" s="10">
        <v>0</v>
      </c>
      <c r="BH12" s="10">
        <v>1</v>
      </c>
      <c r="BI12" s="10">
        <v>0</v>
      </c>
      <c r="BJ12" s="10">
        <v>120</v>
      </c>
      <c r="BK12" s="12"/>
      <c r="BM12" s="23">
        <v>1</v>
      </c>
      <c r="BN12" s="23">
        <v>0</v>
      </c>
      <c r="BO12" s="23">
        <v>0</v>
      </c>
      <c r="BP12" s="23">
        <v>1</v>
      </c>
      <c r="BQ12" s="23">
        <v>1</v>
      </c>
      <c r="BR12" s="23">
        <v>0</v>
      </c>
      <c r="BS12" s="10">
        <v>0</v>
      </c>
      <c r="BT12" s="23"/>
      <c r="BU12" s="38">
        <v>43837.8125</v>
      </c>
      <c r="BV12" s="38">
        <v>43837.940972222197</v>
      </c>
      <c r="BW12" s="38">
        <v>43837.930555555598</v>
      </c>
      <c r="BX12" s="38">
        <v>43837.96875</v>
      </c>
      <c r="BY12" s="47">
        <v>43837.940972222219</v>
      </c>
      <c r="BZ12" s="102"/>
      <c r="CA12" s="102"/>
      <c r="CB12" s="23">
        <v>0</v>
      </c>
      <c r="CC12" s="23"/>
      <c r="CD12" s="23">
        <v>0</v>
      </c>
      <c r="CE12" s="23"/>
      <c r="CF12" s="23">
        <v>0</v>
      </c>
      <c r="CG12" s="23"/>
      <c r="CH12" s="102"/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25">
        <v>0</v>
      </c>
      <c r="CY12" s="25">
        <v>5</v>
      </c>
      <c r="CZ12" s="25">
        <v>0</v>
      </c>
      <c r="DA12" s="25">
        <v>5</v>
      </c>
      <c r="DB12" s="25">
        <v>0</v>
      </c>
      <c r="DC12" s="25">
        <v>1</v>
      </c>
      <c r="DD12" s="25">
        <v>0</v>
      </c>
      <c r="DE12" s="105">
        <v>2</v>
      </c>
      <c r="DF12" s="25">
        <v>0</v>
      </c>
      <c r="DG12" s="105">
        <v>2</v>
      </c>
      <c r="DH12" s="28">
        <v>0</v>
      </c>
      <c r="DI12" s="28">
        <v>3</v>
      </c>
      <c r="DJ12" s="25">
        <v>0</v>
      </c>
      <c r="DK12" s="25">
        <v>0</v>
      </c>
      <c r="DL12" s="25">
        <v>0</v>
      </c>
      <c r="DM12" s="25">
        <v>0</v>
      </c>
      <c r="DN12" s="25">
        <v>0</v>
      </c>
      <c r="DO12" s="25">
        <v>0</v>
      </c>
      <c r="DP12" s="25">
        <v>0</v>
      </c>
      <c r="DQ12" s="25">
        <v>0</v>
      </c>
      <c r="DR12" s="25">
        <v>1</v>
      </c>
      <c r="DS12" s="25">
        <v>0</v>
      </c>
      <c r="DT12" s="26">
        <v>1</v>
      </c>
      <c r="DU12" s="26">
        <v>0</v>
      </c>
      <c r="DV12" s="26">
        <v>0</v>
      </c>
      <c r="DW12" s="26">
        <v>0</v>
      </c>
      <c r="DX12" s="26"/>
      <c r="DY12" s="10">
        <v>1.22</v>
      </c>
      <c r="DZ12" s="10">
        <v>0.73</v>
      </c>
      <c r="EA12" s="10">
        <v>198</v>
      </c>
      <c r="ED12" s="10">
        <v>161</v>
      </c>
      <c r="EE12" s="10">
        <v>5.49</v>
      </c>
      <c r="EF12" s="10">
        <v>97</v>
      </c>
      <c r="EH12" s="10">
        <v>595</v>
      </c>
      <c r="EI12" s="10">
        <v>630</v>
      </c>
      <c r="EJ12" s="10">
        <v>55</v>
      </c>
      <c r="EK12" s="10">
        <v>0.4</v>
      </c>
      <c r="EL12" s="10" t="s">
        <v>881</v>
      </c>
      <c r="EO12" s="94">
        <v>0</v>
      </c>
      <c r="EP12" s="10">
        <v>31</v>
      </c>
      <c r="EQ12" s="10">
        <v>47</v>
      </c>
      <c r="ES12" s="10">
        <v>8.9700000000000006</v>
      </c>
      <c r="ET12" s="10">
        <v>0</v>
      </c>
      <c r="EU12" s="10">
        <v>0</v>
      </c>
      <c r="EV12" s="10">
        <v>8</v>
      </c>
      <c r="EW12" s="94"/>
      <c r="EY12" s="10">
        <v>16</v>
      </c>
      <c r="EZ12" s="13"/>
      <c r="FI12" s="10">
        <v>0</v>
      </c>
      <c r="FJ12" s="10">
        <v>1</v>
      </c>
      <c r="FK12" s="10">
        <v>1</v>
      </c>
      <c r="FL12" s="10">
        <v>2</v>
      </c>
      <c r="FM12" s="10">
        <v>0</v>
      </c>
      <c r="FN12" s="10">
        <v>0</v>
      </c>
      <c r="FO12" s="10">
        <v>0</v>
      </c>
      <c r="FP12" s="10">
        <v>0</v>
      </c>
      <c r="FQ12" s="10">
        <v>8</v>
      </c>
      <c r="FR12" s="10">
        <v>2</v>
      </c>
      <c r="FS12" s="10">
        <v>1</v>
      </c>
      <c r="FU12" s="10">
        <v>0</v>
      </c>
      <c r="FV12" s="10">
        <v>0</v>
      </c>
      <c r="FW12" s="94">
        <v>0</v>
      </c>
      <c r="FX12" s="10">
        <v>0</v>
      </c>
      <c r="FY12" s="10">
        <v>1</v>
      </c>
      <c r="FZ12" s="10">
        <v>0</v>
      </c>
      <c r="GA12" s="10">
        <v>30</v>
      </c>
      <c r="GC12" s="52"/>
      <c r="GD12" s="10" t="s">
        <v>484</v>
      </c>
      <c r="GE12" s="10" t="s">
        <v>509</v>
      </c>
    </row>
    <row r="13" spans="1:187" s="10" customFormat="1" ht="15" x14ac:dyDescent="0.2">
      <c r="A13" s="22">
        <v>13511163</v>
      </c>
      <c r="B13" s="22">
        <v>0</v>
      </c>
      <c r="C13" s="29">
        <v>43790</v>
      </c>
      <c r="D13" s="10">
        <v>8</v>
      </c>
      <c r="E13" s="10">
        <v>5</v>
      </c>
      <c r="F13" s="10">
        <v>4</v>
      </c>
      <c r="G13" s="10">
        <f t="shared" si="0"/>
        <v>-4</v>
      </c>
      <c r="H13" s="21">
        <v>0</v>
      </c>
      <c r="I13" s="21">
        <v>0</v>
      </c>
      <c r="J13" s="23">
        <v>49</v>
      </c>
      <c r="K13" s="23">
        <v>3</v>
      </c>
      <c r="L13" s="23">
        <v>0</v>
      </c>
      <c r="M13" s="23">
        <v>1</v>
      </c>
      <c r="N13" s="23"/>
      <c r="O13" s="23">
        <v>5</v>
      </c>
      <c r="P13" s="21">
        <v>0</v>
      </c>
      <c r="Q13" s="23">
        <v>85</v>
      </c>
      <c r="R13" s="23">
        <v>170</v>
      </c>
      <c r="S13" s="34">
        <f t="shared" si="1"/>
        <v>29.411764705882355</v>
      </c>
      <c r="U13" s="23">
        <v>0</v>
      </c>
      <c r="V13" s="23">
        <v>2</v>
      </c>
      <c r="W13" s="38">
        <v>43790.476388888899</v>
      </c>
      <c r="X13" s="38">
        <v>43790.483333333301</v>
      </c>
      <c r="Y13" s="38">
        <v>43790.541666666701</v>
      </c>
      <c r="Z13" s="38">
        <v>43790.552083333299</v>
      </c>
      <c r="AA13" s="39">
        <f t="shared" si="2"/>
        <v>9.9999999382998794</v>
      </c>
      <c r="AB13" s="39">
        <f t="shared" si="3"/>
        <v>84.000000095693395</v>
      </c>
      <c r="AC13" s="39">
        <f t="shared" si="4"/>
        <v>94.000000033993274</v>
      </c>
      <c r="AD13" s="41">
        <v>0</v>
      </c>
      <c r="AE13" s="22">
        <v>1</v>
      </c>
      <c r="AF13" s="22">
        <v>1</v>
      </c>
      <c r="AG13" s="14">
        <v>1</v>
      </c>
      <c r="AH13" s="14">
        <v>1</v>
      </c>
      <c r="AI13" s="23">
        <v>0</v>
      </c>
      <c r="AJ13" s="23">
        <v>0</v>
      </c>
      <c r="AK13" s="23">
        <v>0</v>
      </c>
      <c r="AL13" s="23">
        <v>1</v>
      </c>
      <c r="AM13" s="10">
        <v>6</v>
      </c>
      <c r="AN13" s="10">
        <v>0</v>
      </c>
      <c r="AO13" s="10">
        <v>1250</v>
      </c>
      <c r="AP13" s="94">
        <v>0</v>
      </c>
      <c r="AQ13" s="94">
        <v>0</v>
      </c>
      <c r="AR13" s="94">
        <v>0</v>
      </c>
      <c r="AS13" s="94">
        <v>0</v>
      </c>
      <c r="AT13" s="94">
        <v>0</v>
      </c>
      <c r="AU13" s="94">
        <v>0</v>
      </c>
      <c r="AV13" s="94">
        <v>0</v>
      </c>
      <c r="AW13" s="94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21">
        <v>0</v>
      </c>
      <c r="BD13" s="10">
        <v>1</v>
      </c>
      <c r="BE13" s="10">
        <v>0</v>
      </c>
      <c r="BF13" s="10">
        <v>0</v>
      </c>
      <c r="BG13" s="10">
        <v>1</v>
      </c>
      <c r="BH13" s="10">
        <v>0</v>
      </c>
      <c r="BI13" s="10">
        <v>0</v>
      </c>
      <c r="BJ13" s="10">
        <v>134</v>
      </c>
      <c r="BK13" s="12"/>
      <c r="BM13" s="23">
        <v>1</v>
      </c>
      <c r="BN13" s="23">
        <v>0</v>
      </c>
      <c r="BO13" s="23">
        <v>0</v>
      </c>
      <c r="BP13" s="23">
        <v>1</v>
      </c>
      <c r="BQ13" s="23">
        <v>0</v>
      </c>
      <c r="BR13" s="23">
        <v>0</v>
      </c>
      <c r="BS13" s="21">
        <v>0</v>
      </c>
      <c r="BT13" s="23">
        <v>0</v>
      </c>
      <c r="BU13" s="38">
        <v>43790.569444444445</v>
      </c>
      <c r="BV13" s="46">
        <v>43790.613194444442</v>
      </c>
      <c r="BW13" s="38">
        <v>43790.697916666701</v>
      </c>
      <c r="BX13" s="38">
        <v>43790.725694444402</v>
      </c>
      <c r="BY13" s="38">
        <v>43790.725694444402</v>
      </c>
      <c r="BZ13" s="28">
        <v>0</v>
      </c>
      <c r="CA13" s="102"/>
      <c r="CB13" s="23">
        <v>0</v>
      </c>
      <c r="CC13" s="23"/>
      <c r="CD13" s="23">
        <v>0</v>
      </c>
      <c r="CE13" s="23"/>
      <c r="CF13" s="23">
        <v>0</v>
      </c>
      <c r="CG13" s="23"/>
      <c r="CH13" s="102"/>
      <c r="CI13" s="21">
        <v>1</v>
      </c>
      <c r="CJ13" s="21">
        <v>0</v>
      </c>
      <c r="CK13" s="21">
        <v>0</v>
      </c>
      <c r="CL13" s="21">
        <v>1</v>
      </c>
      <c r="CM13" s="21">
        <v>0</v>
      </c>
      <c r="CN13" s="21">
        <v>0</v>
      </c>
      <c r="CO13" s="21">
        <v>0</v>
      </c>
      <c r="CP13" s="21">
        <v>0</v>
      </c>
      <c r="CQ13" s="21">
        <v>0</v>
      </c>
      <c r="CR13" s="21">
        <v>0</v>
      </c>
      <c r="CS13" s="21">
        <v>0</v>
      </c>
      <c r="CT13" s="21">
        <v>0</v>
      </c>
      <c r="CU13" s="21">
        <v>0</v>
      </c>
      <c r="CV13" s="21">
        <v>0</v>
      </c>
      <c r="CW13" s="21">
        <v>0</v>
      </c>
      <c r="CX13" s="25">
        <v>0</v>
      </c>
      <c r="CY13" s="25">
        <v>3</v>
      </c>
      <c r="CZ13" s="25">
        <v>0</v>
      </c>
      <c r="DA13" s="25">
        <v>3</v>
      </c>
      <c r="DB13" s="25">
        <v>0</v>
      </c>
      <c r="DC13" s="25">
        <v>0</v>
      </c>
      <c r="DD13" s="25">
        <v>0</v>
      </c>
      <c r="DE13" s="105">
        <v>3</v>
      </c>
      <c r="DF13" s="25">
        <v>0</v>
      </c>
      <c r="DG13" s="105">
        <v>3</v>
      </c>
      <c r="DH13" s="28">
        <v>0</v>
      </c>
      <c r="DI13" s="28">
        <v>2</v>
      </c>
      <c r="DJ13" s="25">
        <v>0</v>
      </c>
      <c r="DK13" s="25">
        <v>0</v>
      </c>
      <c r="DL13" s="25">
        <v>0</v>
      </c>
      <c r="DM13" s="25">
        <v>0</v>
      </c>
      <c r="DN13" s="25">
        <v>0</v>
      </c>
      <c r="DO13" s="25">
        <v>0</v>
      </c>
      <c r="DP13" s="25">
        <v>0</v>
      </c>
      <c r="DQ13" s="25">
        <v>0</v>
      </c>
      <c r="DR13" s="25">
        <v>1</v>
      </c>
      <c r="DS13" s="25">
        <v>1</v>
      </c>
      <c r="DT13" s="26">
        <v>0</v>
      </c>
      <c r="DU13" s="26">
        <v>0</v>
      </c>
      <c r="DV13" s="26">
        <v>0</v>
      </c>
      <c r="DW13" s="26">
        <v>0</v>
      </c>
      <c r="DX13" s="26"/>
      <c r="DY13" s="10">
        <v>1.55</v>
      </c>
      <c r="DZ13" s="10">
        <v>0.99</v>
      </c>
      <c r="EA13" s="10">
        <v>243</v>
      </c>
      <c r="ED13" s="10">
        <v>142</v>
      </c>
      <c r="EH13" s="10">
        <v>78</v>
      </c>
      <c r="EJ13" s="10">
        <v>32</v>
      </c>
      <c r="EL13" s="10">
        <v>8.9</v>
      </c>
      <c r="EM13" s="10">
        <v>11.7</v>
      </c>
      <c r="EN13" s="10">
        <v>3</v>
      </c>
      <c r="EO13" s="94"/>
      <c r="ET13" s="10">
        <v>1</v>
      </c>
      <c r="EU13" s="94"/>
      <c r="EV13" s="94"/>
      <c r="EW13" s="94"/>
      <c r="EY13" s="10">
        <v>17</v>
      </c>
      <c r="EZ13" s="13"/>
      <c r="FD13" s="10">
        <v>7.34</v>
      </c>
      <c r="FE13" s="10">
        <v>7.6</v>
      </c>
      <c r="FF13" s="10" t="s">
        <v>613</v>
      </c>
      <c r="FI13" s="10">
        <v>1</v>
      </c>
      <c r="FJ13" s="10">
        <v>1</v>
      </c>
      <c r="FK13" s="10">
        <v>1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7</v>
      </c>
      <c r="FR13" s="10">
        <v>3</v>
      </c>
      <c r="FS13" s="10">
        <v>0</v>
      </c>
      <c r="FT13" s="10">
        <v>140</v>
      </c>
      <c r="FU13" s="10">
        <v>1</v>
      </c>
      <c r="FV13" s="10">
        <v>1</v>
      </c>
      <c r="FW13" s="10">
        <v>0</v>
      </c>
      <c r="FX13" s="10">
        <v>0</v>
      </c>
      <c r="FY13" s="10">
        <v>1</v>
      </c>
      <c r="FZ13" s="10">
        <v>4</v>
      </c>
      <c r="GA13" s="10">
        <v>43</v>
      </c>
      <c r="GC13" s="53" t="s">
        <v>242</v>
      </c>
      <c r="GD13" s="10" t="s">
        <v>544</v>
      </c>
      <c r="GE13" s="10" t="s">
        <v>518</v>
      </c>
    </row>
    <row r="14" spans="1:187" s="10" customFormat="1" ht="15" x14ac:dyDescent="0.2">
      <c r="A14" s="20">
        <v>13509785</v>
      </c>
      <c r="B14" s="22">
        <v>0</v>
      </c>
      <c r="C14" s="30">
        <v>43785</v>
      </c>
      <c r="H14" s="21">
        <v>1</v>
      </c>
      <c r="I14" s="21">
        <v>0</v>
      </c>
      <c r="J14" s="21">
        <v>51</v>
      </c>
      <c r="K14" s="21">
        <v>1</v>
      </c>
      <c r="L14" s="21">
        <v>1</v>
      </c>
      <c r="M14" s="21">
        <v>0</v>
      </c>
      <c r="N14" s="21">
        <v>0</v>
      </c>
      <c r="O14" s="21">
        <v>3</v>
      </c>
      <c r="P14" s="95"/>
      <c r="Q14" s="21">
        <v>75</v>
      </c>
      <c r="R14" s="21">
        <v>170</v>
      </c>
      <c r="S14" s="34">
        <f t="shared" si="1"/>
        <v>25.95155709342561</v>
      </c>
      <c r="T14" s="27">
        <v>0</v>
      </c>
      <c r="U14" s="21">
        <v>0</v>
      </c>
      <c r="V14" s="21">
        <v>3</v>
      </c>
      <c r="W14" s="37">
        <v>43785.675694444399</v>
      </c>
      <c r="X14" s="37">
        <v>43785.681250000001</v>
      </c>
      <c r="Y14" s="37">
        <v>43785.743750000001</v>
      </c>
      <c r="Z14" s="37">
        <v>43785.751388888901</v>
      </c>
      <c r="AA14" s="39">
        <f t="shared" si="2"/>
        <v>8.0000000679865479</v>
      </c>
      <c r="AB14" s="39">
        <f t="shared" si="3"/>
        <v>90</v>
      </c>
      <c r="AC14" s="39">
        <f t="shared" si="4"/>
        <v>98.000000067986548</v>
      </c>
      <c r="AD14" s="40">
        <v>0</v>
      </c>
      <c r="AE14" s="20">
        <v>1</v>
      </c>
      <c r="AF14" s="20">
        <v>4</v>
      </c>
      <c r="AG14" s="14">
        <v>1</v>
      </c>
      <c r="AH14" s="14">
        <v>1</v>
      </c>
      <c r="AI14" s="21">
        <v>0</v>
      </c>
      <c r="AJ14" s="21">
        <v>0</v>
      </c>
      <c r="AK14" s="21">
        <v>0</v>
      </c>
      <c r="AL14" s="21">
        <v>1</v>
      </c>
      <c r="AM14" s="10">
        <v>6</v>
      </c>
      <c r="AN14" s="10">
        <v>0</v>
      </c>
      <c r="AO14" s="94"/>
      <c r="AP14" s="94">
        <v>0</v>
      </c>
      <c r="AQ14" s="94">
        <v>0</v>
      </c>
      <c r="AR14" s="94">
        <v>0</v>
      </c>
      <c r="AS14" s="94">
        <v>0</v>
      </c>
      <c r="AT14" s="94">
        <v>0</v>
      </c>
      <c r="AU14" s="94">
        <v>0</v>
      </c>
      <c r="AV14" s="94">
        <v>0</v>
      </c>
      <c r="AW14" s="94">
        <v>0</v>
      </c>
      <c r="AX14" s="10">
        <v>4</v>
      </c>
      <c r="AY14" s="10">
        <v>1</v>
      </c>
      <c r="AZ14" s="10">
        <v>1</v>
      </c>
      <c r="BA14" s="10">
        <v>0</v>
      </c>
      <c r="BB14" s="10">
        <v>3</v>
      </c>
      <c r="BC14" s="21">
        <v>0</v>
      </c>
      <c r="BD14" s="10">
        <v>1</v>
      </c>
      <c r="BE14" s="10">
        <v>0</v>
      </c>
      <c r="BF14" s="10">
        <v>0</v>
      </c>
      <c r="BG14" s="10">
        <v>1</v>
      </c>
      <c r="BH14" s="10">
        <v>0</v>
      </c>
      <c r="BI14" s="10">
        <v>0</v>
      </c>
      <c r="BJ14" s="10">
        <v>149</v>
      </c>
      <c r="BK14" s="12"/>
      <c r="BM14" s="21">
        <v>1</v>
      </c>
      <c r="BN14" s="21">
        <v>0</v>
      </c>
      <c r="BO14" s="21">
        <v>0</v>
      </c>
      <c r="BP14" s="21">
        <v>0</v>
      </c>
      <c r="BQ14" s="21">
        <v>1</v>
      </c>
      <c r="BR14" s="21">
        <v>0</v>
      </c>
      <c r="BS14" s="21">
        <v>0</v>
      </c>
      <c r="BT14" s="21">
        <v>0</v>
      </c>
      <c r="BU14" s="37">
        <v>43785.78125</v>
      </c>
      <c r="BV14" s="37">
        <v>43785.90625</v>
      </c>
      <c r="BW14" s="37">
        <v>43785.840277777803</v>
      </c>
      <c r="BX14" s="37">
        <v>43785.916666666664</v>
      </c>
      <c r="BY14" s="47">
        <v>43785.90625</v>
      </c>
      <c r="BZ14" s="94"/>
      <c r="CA14" s="94"/>
      <c r="CB14" s="21">
        <v>1</v>
      </c>
      <c r="CC14" s="21">
        <v>0</v>
      </c>
      <c r="CD14" s="21">
        <v>1</v>
      </c>
      <c r="CE14" s="21">
        <v>0</v>
      </c>
      <c r="CF14" s="21">
        <v>0</v>
      </c>
      <c r="CG14" s="21"/>
      <c r="CH14" s="94"/>
      <c r="CI14" s="21">
        <v>1</v>
      </c>
      <c r="CJ14" s="21">
        <v>0</v>
      </c>
      <c r="CK14" s="21">
        <v>0</v>
      </c>
      <c r="CL14" s="21">
        <v>1</v>
      </c>
      <c r="CM14" s="21">
        <v>0</v>
      </c>
      <c r="CN14" s="21">
        <v>0</v>
      </c>
      <c r="CO14" s="21">
        <v>0</v>
      </c>
      <c r="CP14" s="21">
        <v>0</v>
      </c>
      <c r="CQ14" s="21">
        <v>0</v>
      </c>
      <c r="CR14" s="21">
        <v>0</v>
      </c>
      <c r="CS14" s="21">
        <v>0</v>
      </c>
      <c r="CT14" s="21">
        <v>0</v>
      </c>
      <c r="CU14" s="21">
        <v>0</v>
      </c>
      <c r="CV14" s="21">
        <v>0</v>
      </c>
      <c r="CW14" s="21">
        <v>0</v>
      </c>
      <c r="CX14" s="94">
        <v>0</v>
      </c>
      <c r="CY14" s="94">
        <v>5</v>
      </c>
      <c r="CZ14" s="94">
        <v>0</v>
      </c>
      <c r="DA14" s="94">
        <v>5</v>
      </c>
      <c r="DB14" s="10">
        <v>0</v>
      </c>
      <c r="DC14" s="10">
        <v>1</v>
      </c>
      <c r="DD14" s="10">
        <v>0</v>
      </c>
      <c r="DE14" s="94">
        <v>0</v>
      </c>
      <c r="DF14" s="10">
        <v>0</v>
      </c>
      <c r="DG14" s="94">
        <v>0</v>
      </c>
      <c r="DH14" s="94">
        <v>0</v>
      </c>
      <c r="DI14" s="10">
        <v>2</v>
      </c>
      <c r="DJ14" s="94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1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Y14" s="10">
        <v>1.19</v>
      </c>
      <c r="DZ14" s="10">
        <v>0.68</v>
      </c>
      <c r="EA14" s="10">
        <v>234</v>
      </c>
      <c r="EB14" s="10">
        <v>412</v>
      </c>
      <c r="ED14" s="10">
        <v>137</v>
      </c>
      <c r="EF14" s="10">
        <v>95</v>
      </c>
      <c r="EH14" s="10">
        <v>138</v>
      </c>
      <c r="EI14" s="10">
        <v>215</v>
      </c>
      <c r="EJ14" s="10">
        <v>55</v>
      </c>
      <c r="EK14" s="10">
        <v>0.3</v>
      </c>
      <c r="EL14" s="10">
        <v>10.4</v>
      </c>
      <c r="EO14" s="94">
        <v>0</v>
      </c>
      <c r="EP14" s="10">
        <v>115</v>
      </c>
      <c r="EQ14" s="10">
        <v>49</v>
      </c>
      <c r="ES14" s="94" t="s">
        <v>871</v>
      </c>
      <c r="ET14" s="10">
        <v>0</v>
      </c>
      <c r="EU14" s="10">
        <v>1</v>
      </c>
      <c r="EV14" s="10">
        <v>7</v>
      </c>
      <c r="EW14" s="94"/>
      <c r="EZ14" s="13"/>
      <c r="FI14" s="10">
        <v>1</v>
      </c>
      <c r="FJ14" s="10">
        <v>1</v>
      </c>
      <c r="FK14" s="10">
        <v>1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4</v>
      </c>
      <c r="FR14" s="10">
        <v>1</v>
      </c>
      <c r="FS14" s="10">
        <v>0</v>
      </c>
      <c r="FU14" s="10">
        <v>1</v>
      </c>
      <c r="FV14" s="10">
        <v>0</v>
      </c>
      <c r="FW14" s="10">
        <v>0</v>
      </c>
      <c r="FX14" s="10">
        <v>0</v>
      </c>
      <c r="FY14" s="10">
        <v>1</v>
      </c>
      <c r="FZ14" s="10">
        <v>3</v>
      </c>
      <c r="GA14" s="94"/>
      <c r="GC14" s="53" t="s">
        <v>243</v>
      </c>
      <c r="GD14" s="10" t="s">
        <v>482</v>
      </c>
    </row>
    <row r="15" spans="1:187" s="10" customFormat="1" ht="15" x14ac:dyDescent="0.2">
      <c r="A15" s="22">
        <v>13508271</v>
      </c>
      <c r="B15" s="22">
        <v>0</v>
      </c>
      <c r="C15" s="29">
        <v>43777</v>
      </c>
      <c r="D15" s="10">
        <v>7</v>
      </c>
      <c r="E15" s="10">
        <v>17</v>
      </c>
      <c r="F15" s="10">
        <v>28</v>
      </c>
      <c r="G15" s="10">
        <f t="shared" si="0"/>
        <v>21</v>
      </c>
      <c r="H15" s="23">
        <v>0</v>
      </c>
      <c r="I15" s="23">
        <v>0</v>
      </c>
      <c r="J15" s="23">
        <v>45</v>
      </c>
      <c r="K15" s="23">
        <v>1</v>
      </c>
      <c r="L15" s="23">
        <v>0</v>
      </c>
      <c r="M15" s="23">
        <v>1</v>
      </c>
      <c r="N15" s="23"/>
      <c r="O15" s="23">
        <v>0</v>
      </c>
      <c r="P15" s="23">
        <v>0</v>
      </c>
      <c r="Q15" s="23">
        <v>85</v>
      </c>
      <c r="R15" s="23">
        <v>180</v>
      </c>
      <c r="S15" s="34">
        <f t="shared" si="1"/>
        <v>26.234567901234566</v>
      </c>
      <c r="T15" s="10">
        <v>0</v>
      </c>
      <c r="U15" s="23">
        <v>1</v>
      </c>
      <c r="V15" s="23">
        <v>1</v>
      </c>
      <c r="W15" s="38">
        <v>43777.84375</v>
      </c>
      <c r="X15" s="38">
        <v>43777.84375</v>
      </c>
      <c r="Y15" s="38">
        <v>43777.895833333336</v>
      </c>
      <c r="Z15" s="38">
        <v>43777.90625</v>
      </c>
      <c r="AA15" s="39">
        <f t="shared" si="2"/>
        <v>0</v>
      </c>
      <c r="AB15" s="39">
        <f t="shared" si="3"/>
        <v>75.00000000349246</v>
      </c>
      <c r="AC15" s="39">
        <f t="shared" si="4"/>
        <v>75.00000000349246</v>
      </c>
      <c r="AD15" s="41">
        <v>1</v>
      </c>
      <c r="AE15" s="22">
        <v>2</v>
      </c>
      <c r="AF15" s="22"/>
      <c r="AG15" s="99">
        <v>2</v>
      </c>
      <c r="AH15" s="11">
        <v>1</v>
      </c>
      <c r="AI15" s="23">
        <v>1</v>
      </c>
      <c r="AJ15" s="23"/>
      <c r="AK15" s="23">
        <v>0</v>
      </c>
      <c r="AL15" s="96"/>
      <c r="AM15" s="10">
        <v>9</v>
      </c>
      <c r="AN15" s="10">
        <v>0</v>
      </c>
      <c r="AO15" s="10">
        <v>1000</v>
      </c>
      <c r="AP15" s="10">
        <v>0</v>
      </c>
      <c r="AQ15" s="10">
        <v>1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1</v>
      </c>
      <c r="AX15" s="10">
        <v>0</v>
      </c>
      <c r="AY15" s="10">
        <v>0</v>
      </c>
      <c r="AZ15" s="10">
        <v>0</v>
      </c>
      <c r="BA15" s="10">
        <v>0</v>
      </c>
      <c r="BB15" s="10">
        <v>1</v>
      </c>
      <c r="BC15" s="21">
        <v>1</v>
      </c>
      <c r="BD15" s="10">
        <v>0</v>
      </c>
      <c r="BE15" s="10">
        <v>1</v>
      </c>
      <c r="BF15" s="10">
        <v>1</v>
      </c>
      <c r="BG15" s="10">
        <v>1</v>
      </c>
      <c r="BH15" s="10">
        <v>0</v>
      </c>
      <c r="BI15" s="10">
        <v>0</v>
      </c>
      <c r="BJ15" s="10">
        <v>120</v>
      </c>
      <c r="BK15" s="12">
        <v>1045</v>
      </c>
      <c r="BL15" s="10">
        <v>810</v>
      </c>
      <c r="BM15" s="23">
        <v>0</v>
      </c>
      <c r="BN15" s="23">
        <v>0</v>
      </c>
      <c r="BO15" s="23">
        <v>0</v>
      </c>
      <c r="BP15" s="23">
        <v>0</v>
      </c>
      <c r="BQ15" s="23">
        <v>0</v>
      </c>
      <c r="BR15" s="23">
        <v>0</v>
      </c>
      <c r="BS15" s="23">
        <v>0</v>
      </c>
      <c r="BT15" s="23">
        <v>0</v>
      </c>
      <c r="BU15" s="46">
        <v>43777.927083333336</v>
      </c>
      <c r="BV15" s="46">
        <v>43777.031944444447</v>
      </c>
      <c r="BW15" s="38">
        <v>43776.916666666664</v>
      </c>
      <c r="BX15" s="46">
        <v>43776.961805555555</v>
      </c>
      <c r="BY15" s="47">
        <v>43777.027777777781</v>
      </c>
      <c r="BZ15" s="26">
        <v>0</v>
      </c>
      <c r="CA15" s="26">
        <v>0</v>
      </c>
      <c r="CB15" s="23">
        <v>0</v>
      </c>
      <c r="CC15" s="23"/>
      <c r="CD15" s="23">
        <v>0</v>
      </c>
      <c r="CE15" s="23"/>
      <c r="CF15" s="23">
        <v>0</v>
      </c>
      <c r="CG15" s="23"/>
      <c r="CH15" s="103">
        <v>0</v>
      </c>
      <c r="CI15" s="31">
        <v>1</v>
      </c>
      <c r="CJ15" s="31">
        <v>1</v>
      </c>
      <c r="CK15" s="31">
        <v>1</v>
      </c>
      <c r="CL15" s="31">
        <v>1</v>
      </c>
      <c r="CM15" s="31">
        <v>0</v>
      </c>
      <c r="CN15" s="31">
        <v>0</v>
      </c>
      <c r="CO15" s="31">
        <v>0</v>
      </c>
      <c r="CP15" s="31">
        <v>0</v>
      </c>
      <c r="CQ15" s="31">
        <v>0</v>
      </c>
      <c r="CR15" s="31">
        <v>0</v>
      </c>
      <c r="CS15" s="31">
        <v>0</v>
      </c>
      <c r="CT15" s="31">
        <v>0</v>
      </c>
      <c r="CU15" s="31">
        <v>0</v>
      </c>
      <c r="CV15" s="31">
        <v>0</v>
      </c>
      <c r="CW15" s="31">
        <v>0</v>
      </c>
      <c r="CX15" s="25">
        <v>0</v>
      </c>
      <c r="CY15" s="105">
        <v>1</v>
      </c>
      <c r="CZ15" s="25">
        <v>0</v>
      </c>
      <c r="DA15" s="105">
        <v>1</v>
      </c>
      <c r="DB15" s="25">
        <v>0</v>
      </c>
      <c r="DC15" s="25">
        <v>1</v>
      </c>
      <c r="DD15" s="25">
        <v>0</v>
      </c>
      <c r="DE15" s="25">
        <v>1</v>
      </c>
      <c r="DF15" s="25">
        <v>1</v>
      </c>
      <c r="DG15" s="105"/>
      <c r="DH15" s="26">
        <v>1</v>
      </c>
      <c r="DI15" s="26">
        <v>2</v>
      </c>
      <c r="DJ15" s="10">
        <v>0</v>
      </c>
      <c r="DK15" s="25">
        <v>0</v>
      </c>
      <c r="DL15" s="25">
        <v>0</v>
      </c>
      <c r="DM15" s="25">
        <v>0</v>
      </c>
      <c r="DN15" s="25">
        <v>0</v>
      </c>
      <c r="DO15" s="25">
        <v>0</v>
      </c>
      <c r="DP15" s="25">
        <v>0</v>
      </c>
      <c r="DQ15" s="25">
        <v>0</v>
      </c>
      <c r="DR15" s="25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Y15" s="10">
        <v>1.42</v>
      </c>
      <c r="DZ15" s="10">
        <v>1.1399999999999999</v>
      </c>
      <c r="EA15" s="10">
        <v>326</v>
      </c>
      <c r="EB15" s="10">
        <v>713</v>
      </c>
      <c r="ED15" s="10">
        <v>142</v>
      </c>
      <c r="EE15" s="10">
        <v>4.9000000000000004</v>
      </c>
      <c r="EF15" s="10">
        <v>97</v>
      </c>
      <c r="EG15" s="94"/>
      <c r="EH15" s="10">
        <v>422</v>
      </c>
      <c r="EI15" s="10">
        <v>322</v>
      </c>
      <c r="EJ15" s="10">
        <v>55</v>
      </c>
      <c r="EK15" s="10">
        <v>0.1</v>
      </c>
      <c r="EL15" s="10">
        <v>8.4</v>
      </c>
      <c r="EM15" s="10">
        <v>12.5</v>
      </c>
      <c r="EN15" s="10">
        <v>2.8</v>
      </c>
      <c r="EO15" s="94">
        <v>0</v>
      </c>
      <c r="EP15" s="10">
        <v>94</v>
      </c>
      <c r="EQ15" s="10">
        <v>12</v>
      </c>
      <c r="ES15" s="10">
        <v>14.5</v>
      </c>
      <c r="ET15" s="10">
        <v>1</v>
      </c>
      <c r="EU15" s="10">
        <v>0</v>
      </c>
      <c r="EV15" s="10">
        <v>8</v>
      </c>
      <c r="EW15" s="10">
        <v>0</v>
      </c>
      <c r="EX15" s="10">
        <v>600</v>
      </c>
      <c r="EY15" s="10">
        <v>12</v>
      </c>
      <c r="EZ15" s="13" t="s">
        <v>673</v>
      </c>
      <c r="FA15" s="10">
        <v>1</v>
      </c>
      <c r="FD15" s="10">
        <v>7.2</v>
      </c>
      <c r="FE15" s="10">
        <v>7.57</v>
      </c>
      <c r="FF15" s="10" t="s">
        <v>546</v>
      </c>
      <c r="FI15" s="10">
        <v>1</v>
      </c>
      <c r="FJ15" s="10">
        <v>1</v>
      </c>
      <c r="FK15" s="10">
        <v>1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7</v>
      </c>
      <c r="FR15" s="10">
        <v>2</v>
      </c>
      <c r="FS15" s="10">
        <v>0</v>
      </c>
      <c r="FT15" s="10">
        <v>15</v>
      </c>
      <c r="FU15" s="10">
        <v>1</v>
      </c>
      <c r="FV15" s="10">
        <v>1</v>
      </c>
      <c r="FW15" s="10">
        <v>0</v>
      </c>
      <c r="FX15" s="10">
        <v>0</v>
      </c>
      <c r="FY15" s="10">
        <v>1</v>
      </c>
      <c r="FZ15" s="10">
        <v>1</v>
      </c>
      <c r="GA15" s="10">
        <v>80</v>
      </c>
      <c r="GC15" s="52">
        <v>1</v>
      </c>
      <c r="GD15" s="10" t="s">
        <v>545</v>
      </c>
    </row>
    <row r="16" spans="1:187" s="10" customFormat="1" ht="15" x14ac:dyDescent="0.2">
      <c r="A16" s="22">
        <v>13508190</v>
      </c>
      <c r="B16" s="22">
        <v>0</v>
      </c>
      <c r="C16" s="29">
        <v>43776</v>
      </c>
      <c r="D16" s="10">
        <v>45</v>
      </c>
      <c r="E16" s="10">
        <v>47</v>
      </c>
      <c r="F16" s="10">
        <v>50</v>
      </c>
      <c r="G16" s="10">
        <f t="shared" si="0"/>
        <v>5</v>
      </c>
      <c r="H16" s="23">
        <v>0</v>
      </c>
      <c r="I16" s="23">
        <v>0</v>
      </c>
      <c r="J16" s="23">
        <v>56</v>
      </c>
      <c r="K16" s="23">
        <v>2</v>
      </c>
      <c r="L16" s="23">
        <v>0</v>
      </c>
      <c r="M16" s="23">
        <v>1</v>
      </c>
      <c r="N16" s="23"/>
      <c r="O16" s="23">
        <v>5</v>
      </c>
      <c r="P16" s="23">
        <v>1</v>
      </c>
      <c r="Q16" s="23">
        <v>90</v>
      </c>
      <c r="R16" s="23">
        <v>175</v>
      </c>
      <c r="S16" s="34">
        <f t="shared" si="1"/>
        <v>29.387755102040817</v>
      </c>
      <c r="T16" s="10">
        <v>1</v>
      </c>
      <c r="U16" s="23">
        <v>1</v>
      </c>
      <c r="V16" s="23">
        <v>6</v>
      </c>
      <c r="W16" s="38">
        <v>43776.656944444447</v>
      </c>
      <c r="X16" s="38">
        <v>43776.665972222225</v>
      </c>
      <c r="Y16" s="38">
        <v>43776.708333333336</v>
      </c>
      <c r="Z16" s="38">
        <v>43776.548611111109</v>
      </c>
      <c r="AA16" s="39">
        <f t="shared" si="2"/>
        <v>13.000000000465661</v>
      </c>
      <c r="AB16" s="39">
        <f t="shared" si="3"/>
        <v>60.999999999767169</v>
      </c>
      <c r="AC16" s="39">
        <f t="shared" si="4"/>
        <v>74.000000000232831</v>
      </c>
      <c r="AD16" s="41">
        <v>0</v>
      </c>
      <c r="AE16" s="22">
        <v>1</v>
      </c>
      <c r="AF16" s="22">
        <v>2</v>
      </c>
      <c r="AG16" s="99"/>
      <c r="AH16" s="99">
        <v>1</v>
      </c>
      <c r="AI16" s="23">
        <v>1</v>
      </c>
      <c r="AJ16" s="23"/>
      <c r="AK16" s="23">
        <v>0</v>
      </c>
      <c r="AL16" s="23">
        <v>1</v>
      </c>
      <c r="AM16" s="10">
        <v>7</v>
      </c>
      <c r="AO16" s="10">
        <v>700</v>
      </c>
      <c r="AP16" s="10">
        <v>0</v>
      </c>
      <c r="AQ16" s="10">
        <v>1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1</v>
      </c>
      <c r="AX16" s="10">
        <v>6</v>
      </c>
      <c r="AY16" s="10">
        <v>0</v>
      </c>
      <c r="AZ16" s="10">
        <v>0</v>
      </c>
      <c r="BA16" s="10">
        <v>0</v>
      </c>
      <c r="BB16" s="10">
        <v>3</v>
      </c>
      <c r="BC16" s="21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112</v>
      </c>
      <c r="BK16" s="12"/>
      <c r="BM16" s="23">
        <v>0</v>
      </c>
      <c r="BN16" s="23">
        <v>0</v>
      </c>
      <c r="BO16" s="23">
        <v>0</v>
      </c>
      <c r="BP16" s="23">
        <v>1</v>
      </c>
      <c r="BQ16" s="23">
        <v>1</v>
      </c>
      <c r="BR16" s="23">
        <v>0</v>
      </c>
      <c r="BS16" s="23">
        <v>0</v>
      </c>
      <c r="BT16" s="23">
        <v>0</v>
      </c>
      <c r="BU16" s="44"/>
      <c r="BV16" s="44"/>
      <c r="BW16" s="46">
        <v>43776.552083333336</v>
      </c>
      <c r="BX16" s="44"/>
      <c r="BY16" s="47">
        <v>43776.724305555559</v>
      </c>
      <c r="BZ16" s="10">
        <v>0</v>
      </c>
      <c r="CA16" s="10">
        <v>0</v>
      </c>
      <c r="CB16" s="23">
        <v>0</v>
      </c>
      <c r="CC16" s="23"/>
      <c r="CD16" s="23">
        <v>0</v>
      </c>
      <c r="CE16" s="23"/>
      <c r="CF16" s="23">
        <v>0</v>
      </c>
      <c r="CG16" s="23"/>
      <c r="CH16" s="94">
        <v>0</v>
      </c>
      <c r="CI16" s="23">
        <v>1</v>
      </c>
      <c r="CJ16" s="23">
        <v>0</v>
      </c>
      <c r="CK16" s="23">
        <v>0</v>
      </c>
      <c r="CL16" s="23">
        <v>1</v>
      </c>
      <c r="CM16" s="23">
        <v>0</v>
      </c>
      <c r="CN16" s="23">
        <v>0</v>
      </c>
      <c r="CO16" s="23">
        <v>0</v>
      </c>
      <c r="CP16" s="23">
        <v>0</v>
      </c>
      <c r="CQ16" s="23">
        <v>0</v>
      </c>
      <c r="CR16" s="23">
        <v>0</v>
      </c>
      <c r="CS16" s="23">
        <v>0</v>
      </c>
      <c r="CT16" s="23">
        <v>0</v>
      </c>
      <c r="CU16" s="23">
        <v>0</v>
      </c>
      <c r="CV16" s="23">
        <v>0</v>
      </c>
      <c r="CW16" s="23">
        <v>0</v>
      </c>
      <c r="CX16" s="25">
        <v>0</v>
      </c>
      <c r="CY16" s="25">
        <v>2</v>
      </c>
      <c r="CZ16" s="25">
        <v>0</v>
      </c>
      <c r="DA16" s="25">
        <v>2</v>
      </c>
      <c r="DB16" s="25">
        <v>0</v>
      </c>
      <c r="DC16" s="25">
        <v>0</v>
      </c>
      <c r="DD16" s="25">
        <v>0</v>
      </c>
      <c r="DE16" s="105">
        <v>5</v>
      </c>
      <c r="DF16" s="25">
        <v>0</v>
      </c>
      <c r="DG16" s="94">
        <v>5</v>
      </c>
      <c r="DH16" s="94">
        <v>0</v>
      </c>
      <c r="DI16" s="10">
        <v>2</v>
      </c>
      <c r="DJ16" s="10">
        <v>0</v>
      </c>
      <c r="DK16" s="25">
        <v>0</v>
      </c>
      <c r="DL16" s="25">
        <v>0</v>
      </c>
      <c r="DM16" s="25">
        <v>1</v>
      </c>
      <c r="DN16" s="25">
        <v>0</v>
      </c>
      <c r="DO16" s="25">
        <v>0</v>
      </c>
      <c r="DP16" s="25">
        <v>0</v>
      </c>
      <c r="DQ16" s="25">
        <v>0</v>
      </c>
      <c r="DR16" s="25">
        <v>1</v>
      </c>
      <c r="DS16" s="25">
        <v>0</v>
      </c>
      <c r="DT16" s="26">
        <v>0</v>
      </c>
      <c r="DU16" s="26">
        <v>0</v>
      </c>
      <c r="DV16" s="26">
        <v>0</v>
      </c>
      <c r="DW16" s="26">
        <v>0</v>
      </c>
      <c r="DX16" s="26"/>
      <c r="DY16" s="10">
        <v>1.23</v>
      </c>
      <c r="EA16" s="10">
        <v>195</v>
      </c>
      <c r="EB16" s="10">
        <v>409</v>
      </c>
      <c r="ED16" s="10">
        <v>139</v>
      </c>
      <c r="EE16" s="10">
        <v>9.9</v>
      </c>
      <c r="EF16" s="10">
        <v>100</v>
      </c>
      <c r="EG16" s="10">
        <v>1216</v>
      </c>
      <c r="EH16" s="10">
        <v>192</v>
      </c>
      <c r="EJ16" s="10">
        <v>32</v>
      </c>
      <c r="EK16" s="10">
        <v>0</v>
      </c>
      <c r="EL16" s="10">
        <v>8.5</v>
      </c>
      <c r="EM16" s="10">
        <v>14.1</v>
      </c>
      <c r="EN16" s="10">
        <v>2</v>
      </c>
      <c r="EO16" s="94">
        <v>0</v>
      </c>
      <c r="EP16" s="10">
        <v>80</v>
      </c>
      <c r="EQ16" s="10">
        <v>19</v>
      </c>
      <c r="ES16" s="10">
        <v>10.6</v>
      </c>
      <c r="ET16" s="10">
        <v>1</v>
      </c>
      <c r="EU16" s="10">
        <v>0</v>
      </c>
      <c r="EV16" s="10">
        <v>8.5</v>
      </c>
      <c r="EW16" s="10">
        <v>0</v>
      </c>
      <c r="EX16" s="10">
        <v>550</v>
      </c>
      <c r="EY16" s="10">
        <v>12</v>
      </c>
      <c r="EZ16" s="13" t="s">
        <v>673</v>
      </c>
      <c r="FA16" s="10">
        <v>1</v>
      </c>
      <c r="FD16" s="50">
        <v>7.18</v>
      </c>
      <c r="FE16" s="10">
        <v>7.33</v>
      </c>
      <c r="FF16" s="10" t="s">
        <v>612</v>
      </c>
      <c r="FI16" s="10">
        <v>1</v>
      </c>
      <c r="FJ16" s="10">
        <v>1</v>
      </c>
      <c r="FK16" s="10">
        <v>1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1</v>
      </c>
      <c r="FR16" s="10">
        <v>3</v>
      </c>
      <c r="FS16" s="10">
        <v>2</v>
      </c>
      <c r="FT16" s="10">
        <v>45</v>
      </c>
      <c r="FU16" s="10">
        <v>1</v>
      </c>
      <c r="FV16" s="10">
        <v>2</v>
      </c>
      <c r="FW16" s="94">
        <v>0</v>
      </c>
      <c r="FX16" s="10">
        <v>0</v>
      </c>
      <c r="FY16" s="10">
        <v>2</v>
      </c>
      <c r="FZ16" s="10">
        <v>0</v>
      </c>
      <c r="GA16" s="10">
        <v>50</v>
      </c>
      <c r="GC16" s="52" t="s">
        <v>244</v>
      </c>
      <c r="GD16" s="10" t="s">
        <v>517</v>
      </c>
    </row>
    <row r="17" spans="1:187" s="10" customFormat="1" ht="15" x14ac:dyDescent="0.2">
      <c r="A17" s="22">
        <v>13505950</v>
      </c>
      <c r="B17" s="22">
        <v>0</v>
      </c>
      <c r="C17" s="29">
        <v>43773</v>
      </c>
      <c r="D17" s="10">
        <v>25</v>
      </c>
      <c r="E17" s="10">
        <v>35</v>
      </c>
      <c r="F17" s="10">
        <v>38</v>
      </c>
      <c r="G17" s="10">
        <f t="shared" si="0"/>
        <v>13</v>
      </c>
      <c r="H17" s="23">
        <v>1</v>
      </c>
      <c r="I17" s="23">
        <v>0</v>
      </c>
      <c r="J17" s="23">
        <v>44</v>
      </c>
      <c r="K17" s="23">
        <v>1</v>
      </c>
      <c r="L17" s="23">
        <v>0</v>
      </c>
      <c r="M17" s="23">
        <v>1</v>
      </c>
      <c r="N17" s="23"/>
      <c r="O17" s="23">
        <v>4</v>
      </c>
      <c r="P17" s="23">
        <v>1</v>
      </c>
      <c r="Q17" s="23">
        <v>65</v>
      </c>
      <c r="R17" s="23">
        <v>165</v>
      </c>
      <c r="S17" s="34">
        <f t="shared" si="1"/>
        <v>23.875114784205696</v>
      </c>
      <c r="T17" s="10">
        <v>0</v>
      </c>
      <c r="U17" s="23">
        <v>0</v>
      </c>
      <c r="V17" s="23">
        <v>2</v>
      </c>
      <c r="W17" s="38">
        <v>43773.670138888898</v>
      </c>
      <c r="X17" s="38">
        <v>43773.670833333301</v>
      </c>
      <c r="Y17" s="38">
        <v>43773.75</v>
      </c>
      <c r="Z17" s="38">
        <v>43773.754166666702</v>
      </c>
      <c r="AA17" s="39">
        <f t="shared" si="2"/>
        <v>0.99999994039535522</v>
      </c>
      <c r="AB17" s="39">
        <f t="shared" si="3"/>
        <v>114.00000004679896</v>
      </c>
      <c r="AC17" s="39">
        <f t="shared" si="4"/>
        <v>114.99999998719431</v>
      </c>
      <c r="AD17" s="41">
        <v>1</v>
      </c>
      <c r="AE17" s="22">
        <v>2</v>
      </c>
      <c r="AF17" s="22"/>
      <c r="AG17" s="14">
        <v>5</v>
      </c>
      <c r="AH17" s="14">
        <v>3</v>
      </c>
      <c r="AI17" s="23">
        <v>0</v>
      </c>
      <c r="AJ17" s="23"/>
      <c r="AK17" s="23">
        <v>0</v>
      </c>
      <c r="AL17" s="96"/>
      <c r="AM17" s="10">
        <v>7</v>
      </c>
      <c r="AN17" s="10">
        <v>1</v>
      </c>
      <c r="AO17" s="10">
        <v>500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1</v>
      </c>
      <c r="AW17" s="10">
        <v>1</v>
      </c>
      <c r="AX17" s="10">
        <v>3</v>
      </c>
      <c r="AY17" s="10">
        <v>1</v>
      </c>
      <c r="AZ17" s="10">
        <v>1</v>
      </c>
      <c r="BA17" s="10">
        <v>0</v>
      </c>
      <c r="BB17" s="10">
        <v>3</v>
      </c>
      <c r="BC17" s="21">
        <v>0</v>
      </c>
      <c r="BD17" s="10">
        <v>0</v>
      </c>
      <c r="BE17" s="10">
        <v>0</v>
      </c>
      <c r="BF17" s="10">
        <v>1</v>
      </c>
      <c r="BG17" s="10">
        <v>0</v>
      </c>
      <c r="BH17" s="10">
        <v>0</v>
      </c>
      <c r="BI17" s="10">
        <v>0</v>
      </c>
      <c r="BJ17" s="10">
        <v>151</v>
      </c>
      <c r="BK17" s="12">
        <v>1200</v>
      </c>
      <c r="BL17" s="10">
        <v>1380</v>
      </c>
      <c r="BM17" s="23">
        <v>1</v>
      </c>
      <c r="BN17" s="23">
        <v>0</v>
      </c>
      <c r="BO17" s="23">
        <v>0</v>
      </c>
      <c r="BP17" s="23">
        <v>0</v>
      </c>
      <c r="BQ17" s="23">
        <v>1</v>
      </c>
      <c r="BR17" s="23">
        <v>0</v>
      </c>
      <c r="BS17" s="23">
        <v>0</v>
      </c>
      <c r="BT17" s="23">
        <v>0</v>
      </c>
      <c r="BU17" s="38">
        <v>43773.779166666704</v>
      </c>
      <c r="BV17" s="38">
        <v>43773.902777777803</v>
      </c>
      <c r="BW17" s="38">
        <v>43773.881944444402</v>
      </c>
      <c r="BX17" s="38">
        <v>43773.920138888898</v>
      </c>
      <c r="BY17" s="38">
        <v>43773.902777777803</v>
      </c>
      <c r="BZ17" s="103"/>
      <c r="CA17" s="103"/>
      <c r="CB17" s="23">
        <v>0</v>
      </c>
      <c r="CC17" s="23"/>
      <c r="CD17" s="23">
        <v>0</v>
      </c>
      <c r="CE17" s="23">
        <v>0</v>
      </c>
      <c r="CF17" s="23">
        <v>0</v>
      </c>
      <c r="CG17" s="23"/>
      <c r="CH17" s="103"/>
      <c r="CI17" s="23">
        <v>1</v>
      </c>
      <c r="CJ17" s="23">
        <v>1</v>
      </c>
      <c r="CK17" s="23">
        <v>1</v>
      </c>
      <c r="CL17" s="23">
        <v>1</v>
      </c>
      <c r="CM17" s="23">
        <v>1</v>
      </c>
      <c r="CN17" s="23">
        <v>1</v>
      </c>
      <c r="CO17" s="23">
        <v>0</v>
      </c>
      <c r="CP17" s="23">
        <v>0</v>
      </c>
      <c r="CQ17" s="23">
        <v>0</v>
      </c>
      <c r="CR17" s="23">
        <v>0</v>
      </c>
      <c r="CS17" s="23">
        <v>0</v>
      </c>
      <c r="CT17" s="23">
        <v>0</v>
      </c>
      <c r="CU17" s="23">
        <v>0</v>
      </c>
      <c r="CV17" s="23">
        <v>0</v>
      </c>
      <c r="CW17" s="23">
        <v>0</v>
      </c>
      <c r="CX17" s="105">
        <v>0</v>
      </c>
      <c r="CY17" s="105">
        <v>5</v>
      </c>
      <c r="CZ17" s="105">
        <v>0</v>
      </c>
      <c r="DA17" s="105">
        <v>5</v>
      </c>
      <c r="DB17" s="25">
        <v>0</v>
      </c>
      <c r="DC17" s="105"/>
      <c r="DD17" s="25">
        <v>1</v>
      </c>
      <c r="DE17" s="25"/>
      <c r="DF17" s="25">
        <v>1</v>
      </c>
      <c r="DG17" s="105"/>
      <c r="DH17" s="26">
        <v>2</v>
      </c>
      <c r="DI17" s="26">
        <v>2</v>
      </c>
      <c r="DJ17" s="10">
        <v>0</v>
      </c>
      <c r="DK17" s="25">
        <v>0</v>
      </c>
      <c r="DL17" s="25">
        <v>0</v>
      </c>
      <c r="DM17" s="25">
        <v>0</v>
      </c>
      <c r="DN17" s="25">
        <v>0</v>
      </c>
      <c r="DO17" s="25">
        <v>0</v>
      </c>
      <c r="DP17" s="25">
        <v>0</v>
      </c>
      <c r="DQ17" s="25">
        <v>0</v>
      </c>
      <c r="DR17" s="25">
        <v>1</v>
      </c>
      <c r="DS17" s="25">
        <v>0</v>
      </c>
      <c r="DT17" s="26">
        <v>0</v>
      </c>
      <c r="DU17" s="26">
        <v>0</v>
      </c>
      <c r="DV17" s="26">
        <v>0</v>
      </c>
      <c r="DW17" s="26">
        <v>0</v>
      </c>
      <c r="DX17" s="26"/>
      <c r="DY17" s="10">
        <v>1.55</v>
      </c>
      <c r="EA17" s="10">
        <v>102</v>
      </c>
      <c r="EB17" s="10">
        <v>38</v>
      </c>
      <c r="ED17" s="10">
        <v>142</v>
      </c>
      <c r="EE17" s="10">
        <v>7.5</v>
      </c>
      <c r="EF17" s="10">
        <v>100</v>
      </c>
      <c r="EH17" s="10">
        <v>1474</v>
      </c>
      <c r="EJ17" s="10">
        <v>159</v>
      </c>
      <c r="EK17" s="10">
        <v>1.2</v>
      </c>
      <c r="EL17" s="10">
        <v>9.8000000000000007</v>
      </c>
      <c r="EO17" s="94"/>
      <c r="ET17" s="10">
        <v>0</v>
      </c>
      <c r="EU17" s="10">
        <v>0</v>
      </c>
      <c r="EV17" s="10">
        <v>7.5</v>
      </c>
      <c r="EW17" s="94"/>
      <c r="EZ17" s="13"/>
      <c r="FI17" s="10">
        <v>1</v>
      </c>
      <c r="FJ17" s="10">
        <v>1</v>
      </c>
      <c r="FK17" s="10">
        <v>1</v>
      </c>
      <c r="FL17" s="10">
        <v>2</v>
      </c>
      <c r="FM17" s="10">
        <v>0</v>
      </c>
      <c r="FN17" s="10">
        <v>0</v>
      </c>
      <c r="FO17" s="10">
        <v>0</v>
      </c>
      <c r="FP17" s="10">
        <v>0</v>
      </c>
      <c r="FQ17" s="10">
        <v>4</v>
      </c>
      <c r="FR17" s="10">
        <v>2</v>
      </c>
      <c r="FS17" s="10">
        <v>0</v>
      </c>
      <c r="FU17" s="10">
        <v>1</v>
      </c>
      <c r="FV17" s="10">
        <v>0</v>
      </c>
      <c r="FW17" s="10">
        <v>0</v>
      </c>
      <c r="FX17" s="10">
        <v>0</v>
      </c>
      <c r="FY17" s="10">
        <v>1</v>
      </c>
      <c r="FZ17" s="10">
        <v>4</v>
      </c>
      <c r="GA17" s="10">
        <v>40</v>
      </c>
      <c r="GC17" s="52"/>
      <c r="GD17" s="10" t="s">
        <v>481</v>
      </c>
    </row>
    <row r="18" spans="1:187" s="10" customFormat="1" ht="15" x14ac:dyDescent="0.2">
      <c r="A18" s="22">
        <v>13506495</v>
      </c>
      <c r="B18" s="22">
        <v>0</v>
      </c>
      <c r="C18" s="29">
        <v>43771</v>
      </c>
      <c r="D18" s="10">
        <v>32</v>
      </c>
      <c r="E18" s="10">
        <v>42</v>
      </c>
      <c r="F18" s="10">
        <v>38</v>
      </c>
      <c r="G18" s="10">
        <f t="shared" si="0"/>
        <v>6</v>
      </c>
      <c r="H18" s="23">
        <v>0</v>
      </c>
      <c r="I18" s="23">
        <v>0</v>
      </c>
      <c r="J18" s="23">
        <v>48</v>
      </c>
      <c r="K18" s="23">
        <v>0</v>
      </c>
      <c r="L18" s="23">
        <v>0</v>
      </c>
      <c r="M18" s="23">
        <v>1</v>
      </c>
      <c r="N18" s="23"/>
      <c r="O18" s="23">
        <v>0</v>
      </c>
      <c r="P18" s="23">
        <v>1</v>
      </c>
      <c r="Q18" s="23">
        <v>90</v>
      </c>
      <c r="R18" s="23">
        <v>175</v>
      </c>
      <c r="S18" s="34">
        <f t="shared" si="1"/>
        <v>29.387755102040817</v>
      </c>
      <c r="T18" s="10">
        <v>0</v>
      </c>
      <c r="U18" s="23">
        <v>1</v>
      </c>
      <c r="V18" s="23">
        <v>6</v>
      </c>
      <c r="W18" s="38">
        <v>43771.768750000003</v>
      </c>
      <c r="X18" s="38">
        <v>43771.773611111101</v>
      </c>
      <c r="Y18" s="38">
        <v>43771.832638888889</v>
      </c>
      <c r="Z18" s="38">
        <v>43771.84375</v>
      </c>
      <c r="AA18" s="39">
        <f t="shared" si="2"/>
        <v>6.9999999809078872</v>
      </c>
      <c r="AB18" s="39">
        <f t="shared" si="3"/>
        <v>85.000000015133992</v>
      </c>
      <c r="AC18" s="39">
        <f t="shared" si="4"/>
        <v>91.999999996041879</v>
      </c>
      <c r="AD18" s="41">
        <v>0</v>
      </c>
      <c r="AE18" s="22">
        <v>1</v>
      </c>
      <c r="AF18" s="22">
        <v>3</v>
      </c>
      <c r="AG18" s="99"/>
      <c r="AH18" s="11">
        <v>4</v>
      </c>
      <c r="AI18" s="23">
        <v>1</v>
      </c>
      <c r="AJ18" s="23"/>
      <c r="AK18" s="23">
        <v>0</v>
      </c>
      <c r="AL18" s="23">
        <v>1</v>
      </c>
      <c r="AM18" s="10">
        <v>9</v>
      </c>
      <c r="AO18" s="94"/>
      <c r="AP18" s="10">
        <v>0</v>
      </c>
      <c r="AQ18" s="10">
        <v>1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1</v>
      </c>
      <c r="AX18" s="10">
        <v>3</v>
      </c>
      <c r="AY18" s="10">
        <v>0</v>
      </c>
      <c r="AZ18" s="10">
        <v>0</v>
      </c>
      <c r="BA18" s="10">
        <v>0</v>
      </c>
      <c r="BB18" s="10">
        <v>3</v>
      </c>
      <c r="BC18" s="21">
        <v>1</v>
      </c>
      <c r="BD18" s="10">
        <v>0</v>
      </c>
      <c r="BE18" s="10">
        <v>0</v>
      </c>
      <c r="BF18" s="10">
        <v>1</v>
      </c>
      <c r="BG18" s="10">
        <v>0</v>
      </c>
      <c r="BH18" s="10">
        <v>0</v>
      </c>
      <c r="BI18" s="10">
        <v>0</v>
      </c>
      <c r="BJ18" s="10">
        <v>82</v>
      </c>
      <c r="BK18" s="12"/>
      <c r="BM18" s="23">
        <v>0</v>
      </c>
      <c r="BN18" s="23">
        <v>0</v>
      </c>
      <c r="BO18" s="23">
        <v>0</v>
      </c>
      <c r="BP18" s="23">
        <v>1</v>
      </c>
      <c r="BQ18" s="23">
        <v>0</v>
      </c>
      <c r="BR18" s="23">
        <v>0</v>
      </c>
      <c r="BS18" s="23">
        <v>0</v>
      </c>
      <c r="BT18" s="23">
        <v>0</v>
      </c>
      <c r="BU18" s="38">
        <v>43771.867361111101</v>
      </c>
      <c r="BV18" s="38">
        <v>43771.9375</v>
      </c>
      <c r="BW18" s="38">
        <v>43771.9375</v>
      </c>
      <c r="BX18" s="38">
        <v>43771.951388888898</v>
      </c>
      <c r="BY18" s="38">
        <v>43771.951388888898</v>
      </c>
      <c r="BZ18" s="26">
        <v>0</v>
      </c>
      <c r="CA18" s="26">
        <v>1</v>
      </c>
      <c r="CB18" s="23">
        <v>1</v>
      </c>
      <c r="CC18" s="23">
        <v>0</v>
      </c>
      <c r="CD18" s="23">
        <v>1</v>
      </c>
      <c r="CE18" s="23">
        <v>0</v>
      </c>
      <c r="CF18" s="23">
        <v>0</v>
      </c>
      <c r="CG18" s="23"/>
      <c r="CH18" s="103">
        <v>0</v>
      </c>
      <c r="CI18" s="23">
        <v>1</v>
      </c>
      <c r="CJ18" s="23">
        <v>0</v>
      </c>
      <c r="CK18" s="23">
        <v>0</v>
      </c>
      <c r="CL18" s="23">
        <v>1</v>
      </c>
      <c r="CM18" s="23">
        <v>0</v>
      </c>
      <c r="CN18" s="23">
        <v>0</v>
      </c>
      <c r="CO18" s="23">
        <v>0</v>
      </c>
      <c r="CP18" s="23">
        <v>0</v>
      </c>
      <c r="CQ18" s="23">
        <v>0</v>
      </c>
      <c r="CR18" s="23">
        <v>0</v>
      </c>
      <c r="CS18" s="23">
        <v>0</v>
      </c>
      <c r="CT18" s="23">
        <v>0</v>
      </c>
      <c r="CU18" s="23">
        <v>0</v>
      </c>
      <c r="CV18" s="23">
        <v>0</v>
      </c>
      <c r="CW18" s="23">
        <v>0</v>
      </c>
      <c r="CX18" s="25">
        <v>0</v>
      </c>
      <c r="CY18" s="25">
        <v>0</v>
      </c>
      <c r="CZ18" s="25">
        <v>0</v>
      </c>
      <c r="DA18" s="25">
        <v>0</v>
      </c>
      <c r="DB18" s="25">
        <v>0</v>
      </c>
      <c r="DC18" s="25">
        <v>3</v>
      </c>
      <c r="DD18" s="25">
        <v>0</v>
      </c>
      <c r="DE18" s="105">
        <v>4</v>
      </c>
      <c r="DF18" s="25">
        <v>0</v>
      </c>
      <c r="DG18" s="105">
        <v>4</v>
      </c>
      <c r="DH18" s="26">
        <v>0</v>
      </c>
      <c r="DI18" s="26">
        <v>0</v>
      </c>
      <c r="DJ18" s="10">
        <v>0</v>
      </c>
      <c r="DK18" s="24">
        <v>0</v>
      </c>
      <c r="DL18" s="32">
        <v>0</v>
      </c>
      <c r="DM18" s="32">
        <v>0</v>
      </c>
      <c r="DN18" s="32">
        <v>0</v>
      </c>
      <c r="DO18" s="32">
        <v>0</v>
      </c>
      <c r="DP18" s="32">
        <v>0</v>
      </c>
      <c r="DQ18" s="32">
        <v>0</v>
      </c>
      <c r="DR18" s="32">
        <v>1</v>
      </c>
      <c r="DS18" s="32">
        <v>1</v>
      </c>
      <c r="DT18" s="33">
        <v>1</v>
      </c>
      <c r="DU18" s="33">
        <v>1</v>
      </c>
      <c r="DV18" s="33">
        <v>1</v>
      </c>
      <c r="DW18" s="33">
        <v>0</v>
      </c>
      <c r="DX18" s="33"/>
      <c r="DY18" s="10">
        <v>1.5</v>
      </c>
      <c r="EA18" s="10">
        <v>220</v>
      </c>
      <c r="EB18" s="10">
        <v>636</v>
      </c>
      <c r="ED18" s="10">
        <v>144</v>
      </c>
      <c r="EE18" s="10">
        <v>4.2</v>
      </c>
      <c r="EF18" s="10">
        <v>104</v>
      </c>
      <c r="EG18" s="10">
        <v>1002</v>
      </c>
      <c r="EH18" s="10">
        <v>193</v>
      </c>
      <c r="EI18" s="10">
        <v>220</v>
      </c>
      <c r="EJ18" s="10">
        <v>38</v>
      </c>
      <c r="EK18" s="10">
        <v>0.3</v>
      </c>
      <c r="EL18" s="10">
        <v>8.1</v>
      </c>
      <c r="EM18" s="10">
        <v>11.1</v>
      </c>
      <c r="EN18" s="10">
        <v>2.4</v>
      </c>
      <c r="EO18" s="94">
        <v>0</v>
      </c>
      <c r="EP18" s="10">
        <v>103</v>
      </c>
      <c r="EQ18" s="10">
        <v>15.9</v>
      </c>
      <c r="ES18" s="10">
        <v>16.2</v>
      </c>
      <c r="ET18" s="10">
        <v>1</v>
      </c>
      <c r="EU18" s="10">
        <v>0</v>
      </c>
      <c r="EV18" s="10">
        <v>7.5</v>
      </c>
      <c r="EW18" s="10">
        <v>0</v>
      </c>
      <c r="EX18" s="10">
        <v>500</v>
      </c>
      <c r="EY18" s="10">
        <v>12</v>
      </c>
      <c r="EZ18" s="13" t="s">
        <v>673</v>
      </c>
      <c r="FA18" s="10">
        <v>1</v>
      </c>
      <c r="FD18" s="10">
        <v>7.38</v>
      </c>
      <c r="FE18" s="10">
        <v>7.36</v>
      </c>
      <c r="FF18" s="10" t="s">
        <v>549</v>
      </c>
      <c r="FI18" s="10">
        <v>1</v>
      </c>
      <c r="FJ18" s="10">
        <v>1</v>
      </c>
      <c r="FK18" s="10">
        <v>1</v>
      </c>
      <c r="FL18" s="10">
        <v>0</v>
      </c>
      <c r="FM18" s="10">
        <v>0</v>
      </c>
      <c r="FN18" s="10">
        <v>0</v>
      </c>
      <c r="FO18" s="10">
        <v>0</v>
      </c>
      <c r="FP18" s="10">
        <v>1</v>
      </c>
      <c r="FQ18" s="10">
        <v>2</v>
      </c>
      <c r="FR18" s="10">
        <v>3</v>
      </c>
      <c r="FS18" s="10">
        <v>2</v>
      </c>
      <c r="FT18" s="10">
        <v>90</v>
      </c>
      <c r="FU18" s="10">
        <v>0</v>
      </c>
      <c r="FV18" s="10">
        <v>1</v>
      </c>
      <c r="FW18" s="10">
        <v>0</v>
      </c>
      <c r="FX18" s="10">
        <v>0</v>
      </c>
      <c r="FY18" s="10">
        <v>1</v>
      </c>
      <c r="FZ18" s="10">
        <v>3</v>
      </c>
      <c r="GA18" s="10">
        <v>20</v>
      </c>
      <c r="GC18" s="52" t="s">
        <v>550</v>
      </c>
      <c r="GD18" s="10" t="s">
        <v>547</v>
      </c>
    </row>
    <row r="19" spans="1:187" s="10" customFormat="1" ht="15" x14ac:dyDescent="0.2">
      <c r="A19" s="22">
        <v>13504642</v>
      </c>
      <c r="B19" s="22">
        <v>0</v>
      </c>
      <c r="C19" s="29">
        <v>43766</v>
      </c>
      <c r="D19" s="10">
        <v>35</v>
      </c>
      <c r="E19" s="10">
        <v>38</v>
      </c>
      <c r="F19" s="10">
        <v>22</v>
      </c>
      <c r="G19" s="10">
        <f t="shared" si="0"/>
        <v>-13</v>
      </c>
      <c r="H19" s="23">
        <v>0</v>
      </c>
      <c r="I19" s="23">
        <v>0</v>
      </c>
      <c r="J19" s="23">
        <v>57</v>
      </c>
      <c r="K19" s="23">
        <v>1</v>
      </c>
      <c r="L19" s="23">
        <v>0</v>
      </c>
      <c r="M19" s="23">
        <v>1</v>
      </c>
      <c r="N19" s="23"/>
      <c r="O19" s="23">
        <v>5</v>
      </c>
      <c r="P19" s="23">
        <v>0</v>
      </c>
      <c r="Q19" s="23">
        <v>78</v>
      </c>
      <c r="R19" s="23">
        <v>178</v>
      </c>
      <c r="S19" s="34">
        <f t="shared" si="1"/>
        <v>24.618103774775911</v>
      </c>
      <c r="T19" s="10">
        <v>3</v>
      </c>
      <c r="U19" s="23">
        <v>0</v>
      </c>
      <c r="V19" s="23">
        <v>2</v>
      </c>
      <c r="W19" s="38">
        <v>43766.524305555598</v>
      </c>
      <c r="X19" s="38">
        <v>43766.531944444403</v>
      </c>
      <c r="Y19" s="38">
        <v>43766.579861111102</v>
      </c>
      <c r="Z19" s="38">
        <v>43766.586805555598</v>
      </c>
      <c r="AA19" s="39">
        <f t="shared" si="2"/>
        <v>10.999999878695235</v>
      </c>
      <c r="AB19" s="39">
        <f t="shared" si="3"/>
        <v>69.000000046798959</v>
      </c>
      <c r="AC19" s="39">
        <f t="shared" si="4"/>
        <v>79.999999925494194</v>
      </c>
      <c r="AD19" s="41">
        <v>0</v>
      </c>
      <c r="AE19" s="22">
        <v>1</v>
      </c>
      <c r="AF19" s="22">
        <v>0</v>
      </c>
      <c r="AG19" s="14">
        <v>1</v>
      </c>
      <c r="AH19" s="14">
        <v>2</v>
      </c>
      <c r="AI19" s="23">
        <v>0</v>
      </c>
      <c r="AJ19" s="23">
        <v>1</v>
      </c>
      <c r="AK19" s="23">
        <v>0</v>
      </c>
      <c r="AL19" s="23">
        <v>2</v>
      </c>
      <c r="AM19" s="94">
        <v>5</v>
      </c>
      <c r="AN19" s="10">
        <v>1</v>
      </c>
      <c r="AO19" s="94"/>
      <c r="AP19" s="10">
        <v>0</v>
      </c>
      <c r="AQ19" s="10">
        <v>0</v>
      </c>
      <c r="AR19" s="10">
        <v>0</v>
      </c>
      <c r="AS19" s="10">
        <v>0</v>
      </c>
      <c r="AT19" s="10">
        <v>1</v>
      </c>
      <c r="AU19" s="10">
        <v>0</v>
      </c>
      <c r="AV19" s="10">
        <v>0</v>
      </c>
      <c r="AW19" s="10">
        <v>1</v>
      </c>
      <c r="AX19" s="10">
        <v>7</v>
      </c>
      <c r="AY19" s="10">
        <v>0</v>
      </c>
      <c r="AZ19" s="10">
        <v>0</v>
      </c>
      <c r="BA19" s="10">
        <v>1</v>
      </c>
      <c r="BB19" s="10">
        <v>3</v>
      </c>
      <c r="BC19" s="21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116</v>
      </c>
      <c r="BK19" s="12">
        <v>980</v>
      </c>
      <c r="BL19" s="10">
        <v>1364</v>
      </c>
      <c r="BM19" s="23">
        <v>1</v>
      </c>
      <c r="BN19" s="23">
        <v>0</v>
      </c>
      <c r="BO19" s="23">
        <v>0</v>
      </c>
      <c r="BP19" s="23">
        <v>1</v>
      </c>
      <c r="BQ19" s="23">
        <v>0</v>
      </c>
      <c r="BR19" s="23">
        <v>0</v>
      </c>
      <c r="BS19" s="23">
        <v>0</v>
      </c>
      <c r="BT19" s="23">
        <v>0</v>
      </c>
      <c r="BU19" s="38">
        <v>43766.604861111096</v>
      </c>
      <c r="BV19" s="38">
        <v>43766.604861111096</v>
      </c>
      <c r="BW19" s="38">
        <v>43766.756944444402</v>
      </c>
      <c r="BX19" s="38">
        <v>43766.805555555555</v>
      </c>
      <c r="BY19" s="47">
        <v>43766.791666666664</v>
      </c>
      <c r="BZ19" s="26">
        <v>0</v>
      </c>
      <c r="CA19" s="26">
        <v>1</v>
      </c>
      <c r="CB19" s="23">
        <v>1</v>
      </c>
      <c r="CC19" s="23">
        <v>0</v>
      </c>
      <c r="CD19" s="23">
        <v>1</v>
      </c>
      <c r="CE19" s="23">
        <v>0</v>
      </c>
      <c r="CF19" s="23">
        <v>0</v>
      </c>
      <c r="CG19" s="23"/>
      <c r="CH19" s="103">
        <v>2</v>
      </c>
      <c r="CI19" s="23">
        <v>1</v>
      </c>
      <c r="CJ19" s="23">
        <v>1</v>
      </c>
      <c r="CK19" s="23">
        <v>1</v>
      </c>
      <c r="CL19" s="23">
        <v>1</v>
      </c>
      <c r="CM19" s="23">
        <v>1</v>
      </c>
      <c r="CN19" s="23">
        <v>1</v>
      </c>
      <c r="CO19" s="23">
        <v>0</v>
      </c>
      <c r="CP19" s="23">
        <v>0</v>
      </c>
      <c r="CQ19" s="23">
        <v>0</v>
      </c>
      <c r="CR19" s="23">
        <v>0</v>
      </c>
      <c r="CS19" s="23">
        <v>0</v>
      </c>
      <c r="CT19" s="23">
        <v>0</v>
      </c>
      <c r="CU19" s="23">
        <v>0</v>
      </c>
      <c r="CV19" s="23">
        <v>0</v>
      </c>
      <c r="CW19" s="23">
        <v>0</v>
      </c>
      <c r="CX19" s="25">
        <v>0</v>
      </c>
      <c r="CY19" s="105">
        <v>0</v>
      </c>
      <c r="CZ19" s="25">
        <v>0</v>
      </c>
      <c r="DA19" s="105">
        <v>0</v>
      </c>
      <c r="DB19" s="25">
        <v>0</v>
      </c>
      <c r="DC19" s="25">
        <v>1</v>
      </c>
      <c r="DD19" s="25">
        <v>1</v>
      </c>
      <c r="DE19" s="25"/>
      <c r="DF19" s="25">
        <v>1</v>
      </c>
      <c r="DG19" s="105"/>
      <c r="DH19" s="26">
        <v>2</v>
      </c>
      <c r="DI19" s="26">
        <v>2</v>
      </c>
      <c r="DJ19" s="10">
        <v>0</v>
      </c>
      <c r="DK19" s="25">
        <v>0</v>
      </c>
      <c r="DL19" s="25">
        <v>0</v>
      </c>
      <c r="DM19" s="25">
        <v>0</v>
      </c>
      <c r="DN19" s="25">
        <v>0</v>
      </c>
      <c r="DO19" s="25">
        <v>0</v>
      </c>
      <c r="DP19" s="25">
        <v>0</v>
      </c>
      <c r="DQ19" s="25">
        <v>0</v>
      </c>
      <c r="DR19" s="25">
        <v>1</v>
      </c>
      <c r="DS19" s="25">
        <v>0</v>
      </c>
      <c r="DT19" s="26">
        <v>0</v>
      </c>
      <c r="DU19" s="26">
        <v>0</v>
      </c>
      <c r="DV19" s="26">
        <v>0</v>
      </c>
      <c r="DW19" s="26">
        <v>0</v>
      </c>
      <c r="DX19" s="26"/>
      <c r="DY19" s="10">
        <v>1.1499999999999999</v>
      </c>
      <c r="DZ19" s="10">
        <v>0.74</v>
      </c>
      <c r="EA19" s="10">
        <v>179</v>
      </c>
      <c r="EB19" s="10">
        <v>512</v>
      </c>
      <c r="ED19" s="10">
        <v>142</v>
      </c>
      <c r="EE19" s="10">
        <v>5.2</v>
      </c>
      <c r="EF19" s="10">
        <v>100</v>
      </c>
      <c r="EG19" s="10">
        <v>949</v>
      </c>
      <c r="EH19" s="10">
        <v>107</v>
      </c>
      <c r="EI19" s="10">
        <v>141</v>
      </c>
      <c r="EJ19" s="10">
        <v>32</v>
      </c>
      <c r="EK19" s="10">
        <v>0.1</v>
      </c>
      <c r="EL19" s="10">
        <v>8.1999999999999993</v>
      </c>
      <c r="EM19" s="10">
        <v>11.2</v>
      </c>
      <c r="EN19" s="10">
        <v>2.6</v>
      </c>
      <c r="EO19" s="94"/>
      <c r="ES19" s="10">
        <v>14.2</v>
      </c>
      <c r="ET19" s="94"/>
      <c r="EU19" s="94"/>
      <c r="EV19" s="94"/>
      <c r="EW19" s="94"/>
      <c r="EZ19" s="13"/>
      <c r="FD19" s="10">
        <v>7.05</v>
      </c>
      <c r="FE19" s="10">
        <v>7.59</v>
      </c>
      <c r="FF19" s="10" t="s">
        <v>552</v>
      </c>
      <c r="FI19" s="10">
        <v>1</v>
      </c>
      <c r="FJ19" s="10">
        <v>1</v>
      </c>
      <c r="FK19" s="10">
        <v>0</v>
      </c>
      <c r="FL19" s="10">
        <v>2</v>
      </c>
      <c r="FM19" s="10">
        <v>1</v>
      </c>
      <c r="FN19" s="10">
        <v>1</v>
      </c>
      <c r="FO19" s="10">
        <v>0</v>
      </c>
      <c r="FP19" s="10">
        <v>0</v>
      </c>
      <c r="FQ19" s="10">
        <v>6</v>
      </c>
      <c r="FR19" s="10">
        <v>2</v>
      </c>
      <c r="FS19" s="10">
        <v>0</v>
      </c>
      <c r="FT19" s="10">
        <v>45</v>
      </c>
      <c r="FU19" s="10">
        <v>2</v>
      </c>
      <c r="FV19" s="10">
        <v>1</v>
      </c>
      <c r="FW19" s="10">
        <v>0</v>
      </c>
      <c r="FX19" s="10">
        <v>0</v>
      </c>
      <c r="FY19" s="10">
        <v>1</v>
      </c>
      <c r="FZ19" s="10">
        <v>0</v>
      </c>
      <c r="GA19" s="10">
        <v>58</v>
      </c>
      <c r="GC19" s="52">
        <v>1</v>
      </c>
      <c r="GD19" s="10" t="s">
        <v>551</v>
      </c>
    </row>
    <row r="20" spans="1:187" s="10" customFormat="1" ht="15" x14ac:dyDescent="0.2">
      <c r="A20" s="22">
        <v>13504255</v>
      </c>
      <c r="B20" s="22">
        <v>0</v>
      </c>
      <c r="C20" s="29">
        <v>43763</v>
      </c>
      <c r="D20" s="10">
        <v>40</v>
      </c>
      <c r="E20" s="10">
        <v>45</v>
      </c>
      <c r="F20" s="10">
        <v>12</v>
      </c>
      <c r="G20" s="10">
        <f t="shared" si="0"/>
        <v>-28</v>
      </c>
      <c r="H20" s="23">
        <v>0</v>
      </c>
      <c r="I20" s="23">
        <v>0</v>
      </c>
      <c r="J20" s="23">
        <v>48</v>
      </c>
      <c r="K20" s="23">
        <v>0</v>
      </c>
      <c r="L20" s="23">
        <v>0</v>
      </c>
      <c r="M20" s="23">
        <v>1</v>
      </c>
      <c r="N20" s="23"/>
      <c r="O20" s="23">
        <v>0</v>
      </c>
      <c r="P20" s="23">
        <v>0</v>
      </c>
      <c r="Q20" s="23">
        <v>85</v>
      </c>
      <c r="R20" s="23">
        <v>180</v>
      </c>
      <c r="S20" s="34">
        <f t="shared" si="1"/>
        <v>26.234567901234566</v>
      </c>
      <c r="T20" s="10">
        <v>0</v>
      </c>
      <c r="U20" s="23">
        <v>1</v>
      </c>
      <c r="V20" s="23">
        <v>2</v>
      </c>
      <c r="W20" s="38">
        <v>43763.288194444402</v>
      </c>
      <c r="X20" s="38">
        <v>43763.293055555601</v>
      </c>
      <c r="Y20" s="38">
        <v>43763.361111111102</v>
      </c>
      <c r="Z20" s="38">
        <v>43763.375</v>
      </c>
      <c r="AA20" s="39">
        <f t="shared" si="2"/>
        <v>7.0000001275911927</v>
      </c>
      <c r="AB20" s="39">
        <f t="shared" si="3"/>
        <v>97.999999921303242</v>
      </c>
      <c r="AC20" s="39">
        <f t="shared" si="4"/>
        <v>105.00000004889444</v>
      </c>
      <c r="AD20" s="41">
        <v>0</v>
      </c>
      <c r="AE20" s="22">
        <v>1</v>
      </c>
      <c r="AF20" s="22">
        <v>4</v>
      </c>
      <c r="AG20" s="99"/>
      <c r="AH20" s="99">
        <v>2</v>
      </c>
      <c r="AI20" s="23">
        <v>1</v>
      </c>
      <c r="AJ20" s="23"/>
      <c r="AK20" s="23">
        <v>0</v>
      </c>
      <c r="AL20" s="23">
        <v>1</v>
      </c>
      <c r="AM20" s="10">
        <v>8</v>
      </c>
      <c r="AN20" s="10">
        <v>0</v>
      </c>
      <c r="AO20" s="10">
        <v>1000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3</v>
      </c>
      <c r="AY20" s="10">
        <v>0</v>
      </c>
      <c r="AZ20" s="10">
        <v>0</v>
      </c>
      <c r="BA20" s="10">
        <v>1</v>
      </c>
      <c r="BB20" s="10">
        <v>3</v>
      </c>
      <c r="BC20" s="21">
        <v>0</v>
      </c>
      <c r="BD20" s="10">
        <v>0</v>
      </c>
      <c r="BE20" s="10">
        <v>0</v>
      </c>
      <c r="BF20" s="10">
        <v>1</v>
      </c>
      <c r="BG20" s="10">
        <v>0</v>
      </c>
      <c r="BH20" s="10">
        <v>0</v>
      </c>
      <c r="BI20" s="10">
        <v>0</v>
      </c>
      <c r="BJ20" s="10">
        <v>150</v>
      </c>
      <c r="BK20" s="12">
        <v>933</v>
      </c>
      <c r="BL20" s="10">
        <v>760</v>
      </c>
      <c r="BM20" s="23">
        <v>1</v>
      </c>
      <c r="BN20" s="23">
        <v>0</v>
      </c>
      <c r="BO20" s="23">
        <v>0</v>
      </c>
      <c r="BP20" s="23">
        <v>1</v>
      </c>
      <c r="BQ20" s="23">
        <v>0</v>
      </c>
      <c r="BR20" s="23">
        <v>0</v>
      </c>
      <c r="BS20" s="23">
        <v>0</v>
      </c>
      <c r="BT20" s="23">
        <v>0</v>
      </c>
      <c r="BU20" s="46">
        <v>43763.392361111109</v>
      </c>
      <c r="BV20" s="38">
        <v>43763.392361111102</v>
      </c>
      <c r="BW20" s="38">
        <v>43763.458333333299</v>
      </c>
      <c r="BX20" s="38">
        <v>43763.479166666701</v>
      </c>
      <c r="BY20" s="38">
        <v>43763.479166666701</v>
      </c>
      <c r="BZ20" s="26">
        <v>0</v>
      </c>
      <c r="CA20" s="26">
        <v>0</v>
      </c>
      <c r="CB20" s="23">
        <v>1</v>
      </c>
      <c r="CC20" s="23">
        <v>0</v>
      </c>
      <c r="CD20" s="23">
        <v>1</v>
      </c>
      <c r="CE20" s="23">
        <v>0</v>
      </c>
      <c r="CF20" s="23">
        <v>0</v>
      </c>
      <c r="CG20" s="23"/>
      <c r="CH20" s="103">
        <v>0</v>
      </c>
      <c r="CI20" s="23">
        <v>1</v>
      </c>
      <c r="CJ20" s="23">
        <v>1</v>
      </c>
      <c r="CK20" s="23">
        <v>1</v>
      </c>
      <c r="CL20" s="23">
        <v>1</v>
      </c>
      <c r="CM20" s="23">
        <v>1</v>
      </c>
      <c r="CN20" s="23">
        <v>1</v>
      </c>
      <c r="CO20" s="23">
        <v>0</v>
      </c>
      <c r="CP20" s="23">
        <v>0</v>
      </c>
      <c r="CQ20" s="23">
        <v>0</v>
      </c>
      <c r="CR20" s="23">
        <v>0</v>
      </c>
      <c r="CS20" s="23">
        <v>0</v>
      </c>
      <c r="CT20" s="23">
        <v>0</v>
      </c>
      <c r="CU20" s="23">
        <v>0</v>
      </c>
      <c r="CV20" s="23">
        <v>0</v>
      </c>
      <c r="CW20" s="23">
        <v>0</v>
      </c>
      <c r="CX20" s="25">
        <v>0</v>
      </c>
      <c r="CY20" s="25">
        <v>2</v>
      </c>
      <c r="CZ20" s="25">
        <v>0</v>
      </c>
      <c r="DA20" s="25">
        <v>2</v>
      </c>
      <c r="DB20" s="25">
        <v>0</v>
      </c>
      <c r="DC20" s="25">
        <v>0</v>
      </c>
      <c r="DD20" s="25">
        <v>1</v>
      </c>
      <c r="DE20" s="25"/>
      <c r="DF20" s="25">
        <v>1</v>
      </c>
      <c r="DG20" s="105"/>
      <c r="DH20" s="26">
        <v>2</v>
      </c>
      <c r="DI20" s="26">
        <v>2</v>
      </c>
      <c r="DJ20" s="10">
        <v>0</v>
      </c>
      <c r="DK20" s="25">
        <v>0</v>
      </c>
      <c r="DL20" s="25">
        <v>0</v>
      </c>
      <c r="DM20" s="25">
        <v>0</v>
      </c>
      <c r="DN20" s="25">
        <v>0</v>
      </c>
      <c r="DO20" s="25">
        <v>0</v>
      </c>
      <c r="DP20" s="25">
        <v>0</v>
      </c>
      <c r="DQ20" s="25">
        <v>0</v>
      </c>
      <c r="DR20" s="25">
        <v>1</v>
      </c>
      <c r="DS20" s="25"/>
      <c r="DT20" s="26"/>
      <c r="DU20" s="26"/>
      <c r="DV20" s="26"/>
      <c r="DW20" s="26">
        <v>0</v>
      </c>
      <c r="DX20" s="26"/>
      <c r="DY20" s="10">
        <v>1.4</v>
      </c>
      <c r="EA20" s="10">
        <v>123</v>
      </c>
      <c r="EB20" s="10">
        <v>657</v>
      </c>
      <c r="ED20" s="10">
        <v>156</v>
      </c>
      <c r="EE20" s="10">
        <v>6</v>
      </c>
      <c r="EJ20" s="10">
        <v>58</v>
      </c>
      <c r="EL20" s="10">
        <v>9.6999999999999993</v>
      </c>
      <c r="EM20" s="10">
        <v>15.1</v>
      </c>
      <c r="EN20" s="10">
        <v>2.9</v>
      </c>
      <c r="EO20" s="94">
        <v>1</v>
      </c>
      <c r="EP20" s="10">
        <v>83</v>
      </c>
      <c r="EQ20" s="10">
        <v>14.7</v>
      </c>
      <c r="ES20" s="10">
        <v>5.17</v>
      </c>
      <c r="ET20" s="10">
        <v>1</v>
      </c>
      <c r="EU20" s="10">
        <v>0</v>
      </c>
      <c r="EV20" s="10">
        <v>8</v>
      </c>
      <c r="EW20" s="10">
        <v>0</v>
      </c>
      <c r="EX20" s="10">
        <v>500</v>
      </c>
      <c r="EY20" s="10">
        <v>12</v>
      </c>
      <c r="EZ20" s="13" t="s">
        <v>673</v>
      </c>
      <c r="FA20" s="10">
        <v>1</v>
      </c>
      <c r="FD20" s="10">
        <v>6.8</v>
      </c>
      <c r="FE20" s="10">
        <v>7.35</v>
      </c>
      <c r="FF20" s="10" t="s">
        <v>554</v>
      </c>
      <c r="FI20" s="10">
        <v>1</v>
      </c>
      <c r="FJ20" s="10">
        <v>1</v>
      </c>
      <c r="FK20" s="10">
        <v>1</v>
      </c>
      <c r="FL20" s="10">
        <v>0</v>
      </c>
      <c r="FQ20" s="10">
        <v>2</v>
      </c>
      <c r="FR20" s="10">
        <v>2</v>
      </c>
      <c r="FS20" s="10">
        <v>0</v>
      </c>
      <c r="FT20" s="10">
        <v>60</v>
      </c>
      <c r="FU20" s="10">
        <v>1</v>
      </c>
      <c r="FV20" s="10">
        <v>0</v>
      </c>
      <c r="FW20" s="10">
        <v>0</v>
      </c>
      <c r="FX20" s="10">
        <v>0</v>
      </c>
      <c r="FY20" s="10">
        <v>2</v>
      </c>
      <c r="FZ20" s="10">
        <v>0</v>
      </c>
      <c r="GA20" s="10">
        <v>40</v>
      </c>
      <c r="GC20" s="52">
        <v>1</v>
      </c>
      <c r="GD20" s="10" t="s">
        <v>553</v>
      </c>
    </row>
    <row r="21" spans="1:187" s="10" customFormat="1" ht="15" x14ac:dyDescent="0.2">
      <c r="A21" s="22">
        <v>13502461</v>
      </c>
      <c r="B21" s="22">
        <v>0</v>
      </c>
      <c r="C21" s="29">
        <v>43754</v>
      </c>
      <c r="D21" s="10">
        <v>5</v>
      </c>
      <c r="E21" s="10">
        <v>28</v>
      </c>
      <c r="F21" s="10">
        <v>22</v>
      </c>
      <c r="G21" s="10">
        <f t="shared" si="0"/>
        <v>17</v>
      </c>
      <c r="H21" s="23">
        <v>1</v>
      </c>
      <c r="I21" s="23">
        <v>0</v>
      </c>
      <c r="J21" s="23">
        <v>52</v>
      </c>
      <c r="K21" s="23">
        <v>0</v>
      </c>
      <c r="L21" s="23">
        <v>0</v>
      </c>
      <c r="M21" s="23">
        <v>1</v>
      </c>
      <c r="N21" s="23"/>
      <c r="O21" s="23">
        <v>3</v>
      </c>
      <c r="P21" s="96"/>
      <c r="Q21" s="23">
        <v>78</v>
      </c>
      <c r="R21" s="23">
        <v>180</v>
      </c>
      <c r="S21" s="34">
        <f t="shared" si="1"/>
        <v>24.074074074074073</v>
      </c>
      <c r="T21" s="10">
        <v>0</v>
      </c>
      <c r="U21" s="23">
        <v>0</v>
      </c>
      <c r="V21" s="23">
        <v>3</v>
      </c>
      <c r="W21" s="38">
        <v>43754.663888888899</v>
      </c>
      <c r="X21" s="38">
        <v>43754.677777777797</v>
      </c>
      <c r="Y21" s="38">
        <v>43754.7319444444</v>
      </c>
      <c r="Z21" s="38">
        <v>43754.738888888904</v>
      </c>
      <c r="AA21" s="39">
        <f t="shared" si="2"/>
        <v>20.000000012805685</v>
      </c>
      <c r="AB21" s="39">
        <f t="shared" si="3"/>
        <v>77.999999908497557</v>
      </c>
      <c r="AC21" s="39">
        <f t="shared" si="4"/>
        <v>97.999999921303242</v>
      </c>
      <c r="AD21" s="41">
        <v>0</v>
      </c>
      <c r="AE21" s="22">
        <v>1</v>
      </c>
      <c r="AF21" s="22">
        <v>3</v>
      </c>
      <c r="AG21" s="14">
        <v>1</v>
      </c>
      <c r="AH21" s="14">
        <v>1</v>
      </c>
      <c r="AI21" s="23">
        <v>0</v>
      </c>
      <c r="AJ21" s="23">
        <v>0</v>
      </c>
      <c r="AK21" s="23">
        <v>0</v>
      </c>
      <c r="AL21" s="96"/>
      <c r="AM21" s="10">
        <v>7</v>
      </c>
      <c r="AO21" s="94"/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7</v>
      </c>
      <c r="AY21" s="10">
        <v>0</v>
      </c>
      <c r="AZ21" s="10">
        <v>0</v>
      </c>
      <c r="BA21" s="10">
        <v>0</v>
      </c>
      <c r="BB21" s="10">
        <v>3</v>
      </c>
      <c r="BC21" s="21">
        <v>0</v>
      </c>
      <c r="BD21" s="10">
        <v>0</v>
      </c>
      <c r="BE21" s="10">
        <v>0</v>
      </c>
      <c r="BF21" s="10">
        <v>1</v>
      </c>
      <c r="BG21" s="10">
        <v>0</v>
      </c>
      <c r="BH21" s="10">
        <v>0</v>
      </c>
      <c r="BI21" s="10">
        <v>0</v>
      </c>
      <c r="BJ21" s="10">
        <v>185</v>
      </c>
      <c r="BK21" s="12"/>
      <c r="BM21" s="23">
        <v>1</v>
      </c>
      <c r="BN21" s="23">
        <v>0</v>
      </c>
      <c r="BO21" s="23">
        <v>0</v>
      </c>
      <c r="BP21" s="23">
        <v>0</v>
      </c>
      <c r="BQ21" s="23">
        <v>1</v>
      </c>
      <c r="BR21" s="23">
        <v>0</v>
      </c>
      <c r="BS21" s="23">
        <v>0</v>
      </c>
      <c r="BT21" s="23">
        <v>0</v>
      </c>
      <c r="BU21" s="38">
        <v>43754.763888888898</v>
      </c>
      <c r="BV21" s="38">
        <v>43754.930555555598</v>
      </c>
      <c r="BW21" s="38">
        <v>43754.899305555598</v>
      </c>
      <c r="BX21" s="38">
        <v>43754.930555555598</v>
      </c>
      <c r="BY21" s="38">
        <v>43754.930555555598</v>
      </c>
      <c r="BZ21" s="103"/>
      <c r="CA21" s="103"/>
      <c r="CB21" s="23">
        <v>1</v>
      </c>
      <c r="CC21" s="23">
        <v>0</v>
      </c>
      <c r="CD21" s="23">
        <v>1</v>
      </c>
      <c r="CE21" s="23">
        <v>0</v>
      </c>
      <c r="CF21" s="23">
        <v>0</v>
      </c>
      <c r="CG21" s="23"/>
      <c r="CH21" s="103"/>
      <c r="CI21" s="23">
        <v>1</v>
      </c>
      <c r="CJ21" s="23">
        <v>0</v>
      </c>
      <c r="CK21" s="23">
        <v>0</v>
      </c>
      <c r="CL21" s="23">
        <v>1</v>
      </c>
      <c r="CM21" s="23">
        <v>0</v>
      </c>
      <c r="CN21" s="23">
        <v>0</v>
      </c>
      <c r="CO21" s="23">
        <v>0</v>
      </c>
      <c r="CP21" s="23">
        <v>0</v>
      </c>
      <c r="CQ21" s="23">
        <v>0</v>
      </c>
      <c r="CR21" s="23">
        <v>0</v>
      </c>
      <c r="CS21" s="23">
        <v>0</v>
      </c>
      <c r="CT21" s="23">
        <v>0</v>
      </c>
      <c r="CU21" s="23">
        <v>0</v>
      </c>
      <c r="CV21" s="23">
        <v>0</v>
      </c>
      <c r="CW21" s="23">
        <v>0</v>
      </c>
      <c r="CX21" s="25">
        <v>0</v>
      </c>
      <c r="CY21" s="25">
        <v>5</v>
      </c>
      <c r="CZ21" s="25">
        <v>0</v>
      </c>
      <c r="DA21" s="25">
        <v>5</v>
      </c>
      <c r="DB21" s="25">
        <v>0</v>
      </c>
      <c r="DC21" s="25">
        <v>0</v>
      </c>
      <c r="DD21" s="25">
        <v>0</v>
      </c>
      <c r="DE21" s="105">
        <v>0</v>
      </c>
      <c r="DF21" s="25">
        <v>0</v>
      </c>
      <c r="DG21" s="105">
        <v>0</v>
      </c>
      <c r="DH21" s="26">
        <v>0</v>
      </c>
      <c r="DI21" s="26">
        <v>2</v>
      </c>
      <c r="DJ21" s="10">
        <v>0</v>
      </c>
      <c r="DK21" s="24">
        <v>0</v>
      </c>
      <c r="DL21" s="32">
        <v>0</v>
      </c>
      <c r="DM21" s="32">
        <v>0</v>
      </c>
      <c r="DN21" s="32">
        <v>0</v>
      </c>
      <c r="DO21" s="32">
        <v>0</v>
      </c>
      <c r="DP21" s="32">
        <v>0</v>
      </c>
      <c r="DQ21" s="32">
        <v>0</v>
      </c>
      <c r="DR21" s="32">
        <v>1</v>
      </c>
      <c r="DS21" s="32">
        <v>0</v>
      </c>
      <c r="DT21" s="33">
        <v>1</v>
      </c>
      <c r="DU21" s="33">
        <v>0</v>
      </c>
      <c r="DV21" s="33">
        <v>0</v>
      </c>
      <c r="DW21" s="33">
        <v>0</v>
      </c>
      <c r="DX21" s="33"/>
      <c r="DY21" s="10">
        <v>1.55</v>
      </c>
      <c r="EA21" s="10">
        <v>198</v>
      </c>
      <c r="EB21" s="10">
        <v>349</v>
      </c>
      <c r="ED21" s="10">
        <v>145</v>
      </c>
      <c r="EE21" s="10">
        <v>5.09</v>
      </c>
      <c r="EF21" s="10">
        <v>92</v>
      </c>
      <c r="EH21" s="10">
        <v>88</v>
      </c>
      <c r="EJ21" s="10">
        <v>22</v>
      </c>
      <c r="EL21" s="10">
        <v>11.4</v>
      </c>
      <c r="EM21" s="10" t="s">
        <v>882</v>
      </c>
      <c r="EO21" s="94"/>
      <c r="ET21" s="10">
        <v>1</v>
      </c>
      <c r="EU21" s="10">
        <v>0</v>
      </c>
      <c r="EV21" s="10">
        <v>7.5</v>
      </c>
      <c r="EW21" s="10">
        <v>1</v>
      </c>
      <c r="EX21" s="10">
        <v>500</v>
      </c>
      <c r="EY21" s="10">
        <v>10</v>
      </c>
      <c r="EZ21" s="13"/>
      <c r="FA21" s="10">
        <v>1</v>
      </c>
      <c r="FI21" s="10">
        <v>1</v>
      </c>
      <c r="FJ21" s="10">
        <v>1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2</v>
      </c>
      <c r="FR21" s="10">
        <v>1</v>
      </c>
      <c r="FS21" s="10">
        <v>0</v>
      </c>
      <c r="FU21" s="10">
        <v>2</v>
      </c>
      <c r="FV21" s="10">
        <v>4</v>
      </c>
      <c r="FW21" s="94">
        <v>0</v>
      </c>
      <c r="FX21" s="10">
        <v>0</v>
      </c>
      <c r="FY21" s="94"/>
      <c r="FZ21" s="10">
        <v>1</v>
      </c>
      <c r="GA21" s="10">
        <v>70</v>
      </c>
      <c r="GC21" s="52" t="s">
        <v>243</v>
      </c>
      <c r="GD21" s="10" t="s">
        <v>480</v>
      </c>
    </row>
    <row r="22" spans="1:187" s="10" customFormat="1" ht="15" x14ac:dyDescent="0.2">
      <c r="A22" s="22">
        <v>13497292</v>
      </c>
      <c r="B22" s="22">
        <v>0</v>
      </c>
      <c r="C22" s="29">
        <v>43735</v>
      </c>
      <c r="D22" s="10">
        <v>8</v>
      </c>
      <c r="E22" s="10">
        <v>22</v>
      </c>
      <c r="F22" s="10">
        <v>17</v>
      </c>
      <c r="G22" s="10">
        <f t="shared" si="0"/>
        <v>9</v>
      </c>
      <c r="H22" s="23">
        <v>1</v>
      </c>
      <c r="I22" s="23">
        <v>0</v>
      </c>
      <c r="J22" s="23">
        <v>45</v>
      </c>
      <c r="K22" s="23">
        <v>0</v>
      </c>
      <c r="L22" s="23">
        <v>1</v>
      </c>
      <c r="M22" s="23">
        <v>1</v>
      </c>
      <c r="N22" s="23"/>
      <c r="O22" s="23">
        <v>3</v>
      </c>
      <c r="P22" s="23">
        <v>1</v>
      </c>
      <c r="Q22" s="23">
        <v>83</v>
      </c>
      <c r="R22" s="23">
        <v>165</v>
      </c>
      <c r="S22" s="34">
        <f t="shared" si="1"/>
        <v>30.486685032139579</v>
      </c>
      <c r="T22" s="10">
        <v>2</v>
      </c>
      <c r="U22" s="23">
        <v>0</v>
      </c>
      <c r="V22" s="23">
        <v>3</v>
      </c>
      <c r="W22" s="38">
        <v>43735.370138888902</v>
      </c>
      <c r="X22" s="38">
        <v>43735.370138888902</v>
      </c>
      <c r="Y22" s="38">
        <v>43735.416666666701</v>
      </c>
      <c r="Z22" s="38">
        <v>43735.420138888898</v>
      </c>
      <c r="AA22" s="39">
        <f t="shared" si="2"/>
        <v>0</v>
      </c>
      <c r="AB22" s="39">
        <f t="shared" si="3"/>
        <v>67.000000029802322</v>
      </c>
      <c r="AC22" s="39">
        <f t="shared" si="4"/>
        <v>67.000000029802322</v>
      </c>
      <c r="AD22" s="41">
        <v>1</v>
      </c>
      <c r="AE22" s="22">
        <v>2</v>
      </c>
      <c r="AF22" s="22">
        <v>3</v>
      </c>
      <c r="AG22" s="99">
        <v>2</v>
      </c>
      <c r="AH22" s="11">
        <v>1</v>
      </c>
      <c r="AI22" s="23">
        <v>0</v>
      </c>
      <c r="AJ22" s="23">
        <v>0</v>
      </c>
      <c r="AK22" s="23">
        <v>0</v>
      </c>
      <c r="AL22" s="23">
        <v>1</v>
      </c>
      <c r="AM22" s="10">
        <v>6</v>
      </c>
      <c r="AN22" s="10">
        <v>0</v>
      </c>
      <c r="AO22" s="10">
        <v>2100</v>
      </c>
      <c r="AP22" s="10">
        <v>0</v>
      </c>
      <c r="AQ22" s="10">
        <v>0</v>
      </c>
      <c r="AR22" s="10">
        <v>0</v>
      </c>
      <c r="AS22" s="10">
        <v>1</v>
      </c>
      <c r="AT22" s="10">
        <v>0</v>
      </c>
      <c r="AU22" s="10">
        <v>1</v>
      </c>
      <c r="AV22" s="10">
        <v>0</v>
      </c>
      <c r="AW22" s="10">
        <v>1</v>
      </c>
      <c r="AX22" s="10">
        <v>1</v>
      </c>
      <c r="AY22" s="10">
        <v>0</v>
      </c>
      <c r="AZ22" s="10">
        <v>0</v>
      </c>
      <c r="BA22" s="10">
        <v>0</v>
      </c>
      <c r="BB22" s="10">
        <v>3</v>
      </c>
      <c r="BC22" s="21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142</v>
      </c>
      <c r="BK22" s="12">
        <v>540</v>
      </c>
      <c r="BL22" s="10">
        <v>720</v>
      </c>
      <c r="BM22" s="23">
        <v>1</v>
      </c>
      <c r="BN22" s="23">
        <v>0</v>
      </c>
      <c r="BO22" s="23">
        <v>0</v>
      </c>
      <c r="BP22" s="23">
        <v>0</v>
      </c>
      <c r="BQ22" s="23">
        <v>1</v>
      </c>
      <c r="BR22" s="23">
        <v>0</v>
      </c>
      <c r="BS22" s="23">
        <v>0</v>
      </c>
      <c r="BT22" s="23">
        <v>0</v>
      </c>
      <c r="BU22" s="38">
        <v>43735.458333333299</v>
      </c>
      <c r="BV22" s="38">
        <v>43735.645833333299</v>
      </c>
      <c r="BW22" s="38">
        <v>43735.618055555598</v>
      </c>
      <c r="BX22" s="38">
        <v>43735.666666666664</v>
      </c>
      <c r="BY22" s="47">
        <v>43735.604166666664</v>
      </c>
      <c r="BZ22" s="104"/>
      <c r="CA22" s="104"/>
      <c r="CB22" s="23">
        <v>1</v>
      </c>
      <c r="CC22" s="23">
        <v>0</v>
      </c>
      <c r="CD22" s="23">
        <v>1</v>
      </c>
      <c r="CE22" s="23">
        <v>0</v>
      </c>
      <c r="CF22" s="23">
        <v>0</v>
      </c>
      <c r="CG22" s="23"/>
      <c r="CH22" s="104"/>
      <c r="CI22" s="23">
        <v>1</v>
      </c>
      <c r="CJ22" s="23">
        <v>1</v>
      </c>
      <c r="CK22" s="23">
        <v>1</v>
      </c>
      <c r="CL22" s="23">
        <v>1</v>
      </c>
      <c r="CM22" s="23">
        <v>1</v>
      </c>
      <c r="CN22" s="23">
        <v>1</v>
      </c>
      <c r="CO22" s="23">
        <v>0</v>
      </c>
      <c r="CP22" s="23">
        <v>0</v>
      </c>
      <c r="CQ22" s="23">
        <v>0</v>
      </c>
      <c r="CR22" s="23">
        <v>0</v>
      </c>
      <c r="CS22" s="23">
        <v>0</v>
      </c>
      <c r="CT22" s="23">
        <v>0</v>
      </c>
      <c r="CU22" s="23">
        <v>0</v>
      </c>
      <c r="CV22" s="23">
        <v>0</v>
      </c>
      <c r="CW22" s="23">
        <v>0</v>
      </c>
      <c r="CX22" s="24">
        <v>0</v>
      </c>
      <c r="CY22" s="107">
        <v>1</v>
      </c>
      <c r="CZ22" s="32">
        <v>0</v>
      </c>
      <c r="DA22" s="107">
        <v>1</v>
      </c>
      <c r="DB22" s="32">
        <v>0</v>
      </c>
      <c r="DC22" s="107"/>
      <c r="DD22" s="32">
        <v>1</v>
      </c>
      <c r="DE22" s="32"/>
      <c r="DF22" s="32">
        <v>1</v>
      </c>
      <c r="DG22" s="107"/>
      <c r="DH22" s="33">
        <v>2</v>
      </c>
      <c r="DI22" s="33">
        <v>2</v>
      </c>
      <c r="DJ22" s="10">
        <v>0</v>
      </c>
      <c r="DK22" s="25">
        <v>0</v>
      </c>
      <c r="DL22" s="25">
        <v>0</v>
      </c>
      <c r="DM22" s="25">
        <v>0</v>
      </c>
      <c r="DN22" s="25">
        <v>0</v>
      </c>
      <c r="DO22" s="25">
        <v>0</v>
      </c>
      <c r="DP22" s="25">
        <v>0</v>
      </c>
      <c r="DQ22" s="25">
        <v>0</v>
      </c>
      <c r="DR22" s="25">
        <v>1</v>
      </c>
      <c r="DS22" s="25">
        <v>0</v>
      </c>
      <c r="DT22" s="26">
        <v>1</v>
      </c>
      <c r="DU22" s="26">
        <v>0</v>
      </c>
      <c r="DV22" s="26">
        <v>1</v>
      </c>
      <c r="DW22" s="26">
        <v>1</v>
      </c>
      <c r="DX22" s="26"/>
      <c r="DY22" s="10">
        <v>1.55</v>
      </c>
      <c r="DZ22" s="10">
        <v>0.74</v>
      </c>
      <c r="EA22" s="10">
        <v>143</v>
      </c>
      <c r="EB22" s="10">
        <v>317</v>
      </c>
      <c r="ED22" s="10">
        <v>142</v>
      </c>
      <c r="EE22" s="10">
        <v>8.18</v>
      </c>
      <c r="EF22" s="10">
        <v>94</v>
      </c>
      <c r="EG22" s="10">
        <v>949</v>
      </c>
      <c r="EH22" s="10">
        <v>306</v>
      </c>
      <c r="EI22" s="10">
        <v>322</v>
      </c>
      <c r="EJ22" s="10">
        <v>15</v>
      </c>
      <c r="EK22" s="10">
        <v>0.3</v>
      </c>
      <c r="EL22" s="10">
        <v>8.1999999999999993</v>
      </c>
      <c r="EM22" s="10" t="s">
        <v>883</v>
      </c>
      <c r="EO22" s="94"/>
      <c r="ET22" s="10">
        <v>0</v>
      </c>
      <c r="EU22" s="10">
        <v>0</v>
      </c>
      <c r="EV22" s="10">
        <v>7</v>
      </c>
      <c r="EW22" s="94"/>
      <c r="EY22" s="10">
        <v>18</v>
      </c>
      <c r="EZ22" s="13"/>
      <c r="FA22" s="10">
        <v>1</v>
      </c>
      <c r="FI22" s="10">
        <v>1</v>
      </c>
      <c r="FJ22" s="10">
        <v>1</v>
      </c>
      <c r="FK22" s="10">
        <v>1</v>
      </c>
      <c r="FL22" s="10">
        <v>0</v>
      </c>
      <c r="FM22" s="10">
        <v>1</v>
      </c>
      <c r="FN22" s="10">
        <v>1</v>
      </c>
      <c r="FO22" s="10">
        <v>0</v>
      </c>
      <c r="FP22" s="10">
        <v>0</v>
      </c>
      <c r="FQ22" s="10">
        <v>4</v>
      </c>
      <c r="FR22" s="10">
        <v>1</v>
      </c>
      <c r="FS22" s="10">
        <v>0</v>
      </c>
      <c r="FU22" s="10">
        <v>1</v>
      </c>
      <c r="FV22" s="10">
        <v>4</v>
      </c>
      <c r="FW22" s="94">
        <v>0</v>
      </c>
      <c r="FX22" s="10">
        <v>0</v>
      </c>
      <c r="FY22" s="10">
        <v>1</v>
      </c>
      <c r="FZ22" s="10">
        <v>0</v>
      </c>
      <c r="GA22" s="10">
        <v>40</v>
      </c>
      <c r="GC22" s="52" t="s">
        <v>479</v>
      </c>
    </row>
    <row r="23" spans="1:187" s="10" customFormat="1" ht="15" x14ac:dyDescent="0.2">
      <c r="A23" s="22">
        <v>13496264</v>
      </c>
      <c r="B23" s="22">
        <v>0</v>
      </c>
      <c r="C23" s="29">
        <v>43730</v>
      </c>
      <c r="D23" s="10">
        <v>11</v>
      </c>
      <c r="E23" s="10">
        <v>32</v>
      </c>
      <c r="F23" s="10">
        <v>25</v>
      </c>
      <c r="G23" s="10">
        <f t="shared" si="0"/>
        <v>14</v>
      </c>
      <c r="H23" s="23">
        <v>0</v>
      </c>
      <c r="I23" s="23">
        <v>0</v>
      </c>
      <c r="J23" s="23">
        <v>58</v>
      </c>
      <c r="K23" s="23">
        <v>2</v>
      </c>
      <c r="L23" s="23">
        <v>1</v>
      </c>
      <c r="M23" s="23">
        <v>1</v>
      </c>
      <c r="N23" s="23"/>
      <c r="O23" s="23">
        <v>3</v>
      </c>
      <c r="P23" s="23">
        <v>1</v>
      </c>
      <c r="Q23" s="23">
        <v>85</v>
      </c>
      <c r="R23" s="23">
        <v>160</v>
      </c>
      <c r="S23" s="34">
        <f t="shared" si="1"/>
        <v>33.203124999999993</v>
      </c>
      <c r="T23" s="10">
        <v>0</v>
      </c>
      <c r="U23" s="23">
        <v>0</v>
      </c>
      <c r="V23" s="23">
        <v>3</v>
      </c>
      <c r="W23" s="38">
        <v>43730.156944444403</v>
      </c>
      <c r="X23" s="38">
        <v>43730.166666666701</v>
      </c>
      <c r="Y23" s="38">
        <v>43730.237500000003</v>
      </c>
      <c r="Z23" s="38">
        <v>43730.242361111101</v>
      </c>
      <c r="AA23" s="39">
        <f t="shared" si="2"/>
        <v>14.00000010849908</v>
      </c>
      <c r="AB23" s="39">
        <f t="shared" si="3"/>
        <v>101.99999995529652</v>
      </c>
      <c r="AC23" s="39">
        <f t="shared" si="4"/>
        <v>116.0000000637956</v>
      </c>
      <c r="AD23" s="41">
        <v>0</v>
      </c>
      <c r="AE23" s="22">
        <v>1</v>
      </c>
      <c r="AF23" s="22">
        <v>1</v>
      </c>
      <c r="AG23" s="99"/>
      <c r="AH23" s="11">
        <v>2</v>
      </c>
      <c r="AI23" s="23">
        <v>0</v>
      </c>
      <c r="AJ23" s="23">
        <v>0</v>
      </c>
      <c r="AK23" s="23">
        <v>0</v>
      </c>
      <c r="AL23" s="23">
        <v>1</v>
      </c>
      <c r="AM23" s="10">
        <v>9</v>
      </c>
      <c r="AO23" s="94"/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4</v>
      </c>
      <c r="AY23" s="10">
        <v>0</v>
      </c>
      <c r="AZ23" s="10">
        <v>0</v>
      </c>
      <c r="BA23" s="10">
        <v>0</v>
      </c>
      <c r="BB23" s="10">
        <v>3</v>
      </c>
      <c r="BC23" s="21">
        <v>0</v>
      </c>
      <c r="BD23" s="10">
        <v>0</v>
      </c>
      <c r="BE23" s="10">
        <v>0</v>
      </c>
      <c r="BF23" s="10">
        <v>1</v>
      </c>
      <c r="BG23" s="10">
        <v>0</v>
      </c>
      <c r="BH23" s="10">
        <v>0</v>
      </c>
      <c r="BI23" s="10">
        <v>0</v>
      </c>
      <c r="BJ23" s="10">
        <v>149</v>
      </c>
      <c r="BK23" s="12"/>
      <c r="BM23" s="23">
        <v>0</v>
      </c>
      <c r="BN23" s="23">
        <v>0</v>
      </c>
      <c r="BO23" s="23">
        <v>0</v>
      </c>
      <c r="BP23" s="23">
        <v>1</v>
      </c>
      <c r="BQ23" s="23">
        <v>0</v>
      </c>
      <c r="BR23" s="23">
        <v>0</v>
      </c>
      <c r="BS23" s="23">
        <v>0</v>
      </c>
      <c r="BT23" s="23">
        <v>0</v>
      </c>
      <c r="BU23" s="38">
        <v>43730.267361111102</v>
      </c>
      <c r="BV23" s="44"/>
      <c r="BW23" s="38">
        <v>43730.350694444402</v>
      </c>
      <c r="BX23" s="38">
        <v>43730.394444444399</v>
      </c>
      <c r="BY23" s="38">
        <v>43730.394444444399</v>
      </c>
      <c r="BZ23" s="26">
        <v>1</v>
      </c>
      <c r="CA23" s="26">
        <v>0</v>
      </c>
      <c r="CB23" s="23">
        <v>0</v>
      </c>
      <c r="CC23" s="23"/>
      <c r="CD23" s="23">
        <v>0</v>
      </c>
      <c r="CE23" s="23"/>
      <c r="CF23" s="23">
        <v>0</v>
      </c>
      <c r="CG23" s="23"/>
      <c r="CH23" s="103">
        <v>0</v>
      </c>
      <c r="CI23" s="23">
        <v>1</v>
      </c>
      <c r="CJ23" s="23">
        <v>0</v>
      </c>
      <c r="CK23" s="23">
        <v>0</v>
      </c>
      <c r="CL23" s="23">
        <v>1</v>
      </c>
      <c r="CM23" s="23">
        <v>0</v>
      </c>
      <c r="CN23" s="23">
        <v>0</v>
      </c>
      <c r="CO23" s="23">
        <v>0</v>
      </c>
      <c r="CP23" s="23">
        <v>0</v>
      </c>
      <c r="CQ23" s="23">
        <v>0</v>
      </c>
      <c r="CR23" s="23">
        <v>0</v>
      </c>
      <c r="CS23" s="23">
        <v>0</v>
      </c>
      <c r="CT23" s="23">
        <v>0</v>
      </c>
      <c r="CU23" s="23">
        <v>0</v>
      </c>
      <c r="CV23" s="23">
        <v>0</v>
      </c>
      <c r="CW23" s="23">
        <v>0</v>
      </c>
      <c r="CX23" s="25">
        <v>0</v>
      </c>
      <c r="CY23" s="25">
        <v>2</v>
      </c>
      <c r="CZ23" s="25">
        <v>0</v>
      </c>
      <c r="DA23" s="25">
        <v>2</v>
      </c>
      <c r="DB23" s="25">
        <v>0</v>
      </c>
      <c r="DC23" s="25">
        <v>1</v>
      </c>
      <c r="DD23" s="25">
        <v>0</v>
      </c>
      <c r="DE23" s="105">
        <v>0</v>
      </c>
      <c r="DF23" s="25">
        <v>0</v>
      </c>
      <c r="DG23" s="105">
        <v>0</v>
      </c>
      <c r="DH23" s="103">
        <v>0</v>
      </c>
      <c r="DI23" s="26">
        <v>2</v>
      </c>
      <c r="DJ23" s="10">
        <v>0</v>
      </c>
      <c r="DK23" s="25">
        <v>0</v>
      </c>
      <c r="DL23" s="25">
        <v>0</v>
      </c>
      <c r="DM23" s="25">
        <v>0</v>
      </c>
      <c r="DN23" s="25">
        <v>0</v>
      </c>
      <c r="DO23" s="25">
        <v>0</v>
      </c>
      <c r="DP23" s="25">
        <v>0</v>
      </c>
      <c r="DQ23" s="25">
        <v>0</v>
      </c>
      <c r="DR23" s="25">
        <v>1</v>
      </c>
      <c r="DS23" s="25">
        <v>2</v>
      </c>
      <c r="DT23" s="26">
        <v>2</v>
      </c>
      <c r="DU23" s="26"/>
      <c r="DV23" s="26"/>
      <c r="DW23" s="26">
        <v>0</v>
      </c>
      <c r="DX23" s="26"/>
      <c r="DY23" s="10">
        <v>1.2</v>
      </c>
      <c r="DZ23" s="10">
        <v>0.61</v>
      </c>
      <c r="EA23" s="10">
        <v>238</v>
      </c>
      <c r="EB23" s="10">
        <v>444</v>
      </c>
      <c r="EF23" s="10">
        <v>101</v>
      </c>
      <c r="EH23" s="10">
        <v>112</v>
      </c>
      <c r="EJ23" s="10">
        <v>128</v>
      </c>
      <c r="EL23" s="10">
        <v>9.6</v>
      </c>
      <c r="EO23" s="94">
        <v>0</v>
      </c>
      <c r="EP23" s="10">
        <v>85</v>
      </c>
      <c r="EQ23" s="10">
        <v>17</v>
      </c>
      <c r="ES23" s="10">
        <v>14.7</v>
      </c>
      <c r="ET23" s="10">
        <v>1</v>
      </c>
      <c r="EU23" s="10">
        <v>0</v>
      </c>
      <c r="EV23" s="10">
        <v>8</v>
      </c>
      <c r="EW23" s="94"/>
      <c r="EY23" s="10">
        <v>12</v>
      </c>
      <c r="EZ23" s="13"/>
      <c r="FD23" s="10">
        <v>6.94</v>
      </c>
      <c r="FE23" s="10">
        <v>7.53</v>
      </c>
      <c r="FF23" s="10" t="s">
        <v>557</v>
      </c>
      <c r="FI23" s="10">
        <v>1</v>
      </c>
      <c r="FJ23" s="10">
        <v>1</v>
      </c>
      <c r="FK23" s="10">
        <v>1</v>
      </c>
      <c r="FL23" s="10">
        <v>0</v>
      </c>
      <c r="FM23" s="10">
        <v>0</v>
      </c>
      <c r="FN23" s="10">
        <v>0</v>
      </c>
      <c r="FO23" s="10">
        <v>0</v>
      </c>
      <c r="FP23" s="10">
        <v>1</v>
      </c>
      <c r="FQ23" s="10">
        <v>4</v>
      </c>
      <c r="FR23" s="10">
        <v>2</v>
      </c>
      <c r="FS23" s="10">
        <v>0</v>
      </c>
      <c r="FT23" s="10">
        <v>30</v>
      </c>
      <c r="FU23" s="10">
        <v>1</v>
      </c>
      <c r="FV23" s="10">
        <v>1</v>
      </c>
      <c r="FW23" s="10">
        <v>0</v>
      </c>
      <c r="FX23" s="10">
        <v>0</v>
      </c>
      <c r="FY23" s="10">
        <v>1</v>
      </c>
      <c r="FZ23" s="10">
        <v>0</v>
      </c>
      <c r="GA23" s="10">
        <v>60</v>
      </c>
      <c r="GC23" s="52" t="s">
        <v>555</v>
      </c>
      <c r="GD23" s="10" t="s">
        <v>556</v>
      </c>
    </row>
    <row r="24" spans="1:187" s="10" customFormat="1" ht="15" x14ac:dyDescent="0.2">
      <c r="A24" s="22">
        <v>13496253</v>
      </c>
      <c r="B24" s="22">
        <v>0</v>
      </c>
      <c r="C24" s="29">
        <v>43728</v>
      </c>
      <c r="D24" s="10">
        <v>17</v>
      </c>
      <c r="E24" s="10">
        <v>14</v>
      </c>
      <c r="F24" s="10">
        <v>16</v>
      </c>
      <c r="G24" s="10">
        <f t="shared" si="0"/>
        <v>-1</v>
      </c>
      <c r="H24" s="23">
        <v>0</v>
      </c>
      <c r="I24" s="23">
        <v>0</v>
      </c>
      <c r="J24" s="23">
        <v>23</v>
      </c>
      <c r="K24" s="23">
        <v>0</v>
      </c>
      <c r="L24" s="23">
        <v>0</v>
      </c>
      <c r="M24" s="23">
        <v>1</v>
      </c>
      <c r="N24" s="23"/>
      <c r="O24" s="23">
        <v>3</v>
      </c>
      <c r="P24" s="23">
        <v>1</v>
      </c>
      <c r="Q24" s="23">
        <v>95</v>
      </c>
      <c r="R24" s="23">
        <v>185</v>
      </c>
      <c r="S24" s="34">
        <f t="shared" si="1"/>
        <v>27.757487216946675</v>
      </c>
      <c r="T24" s="10">
        <v>0</v>
      </c>
      <c r="U24" s="23">
        <v>1</v>
      </c>
      <c r="V24" s="23">
        <v>3</v>
      </c>
      <c r="W24" s="38">
        <v>43728.746527777803</v>
      </c>
      <c r="X24" s="38">
        <v>43728.752083333296</v>
      </c>
      <c r="Y24" s="38">
        <v>43728.788194444402</v>
      </c>
      <c r="Z24" s="38">
        <v>43728.795138888898</v>
      </c>
      <c r="AA24" s="39">
        <f t="shared" si="2"/>
        <v>7.9999999108258635</v>
      </c>
      <c r="AB24" s="39">
        <f t="shared" si="3"/>
        <v>51.999999991385266</v>
      </c>
      <c r="AC24" s="39">
        <f t="shared" si="4"/>
        <v>59.99999990221113</v>
      </c>
      <c r="AD24" s="41">
        <v>0</v>
      </c>
      <c r="AE24" s="22">
        <v>1</v>
      </c>
      <c r="AF24" s="22">
        <v>0</v>
      </c>
      <c r="AG24" s="10">
        <v>2</v>
      </c>
      <c r="AH24" s="11">
        <v>2</v>
      </c>
      <c r="AI24" s="23">
        <v>1</v>
      </c>
      <c r="AJ24" s="23"/>
      <c r="AK24" s="23">
        <v>0</v>
      </c>
      <c r="AL24" s="23">
        <v>1</v>
      </c>
      <c r="AM24" s="10">
        <v>6</v>
      </c>
      <c r="AN24" s="10">
        <v>1</v>
      </c>
      <c r="AO24" s="10">
        <v>500</v>
      </c>
      <c r="AP24" s="10">
        <v>0</v>
      </c>
      <c r="AQ24" s="10">
        <v>1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1</v>
      </c>
      <c r="AX24" s="10">
        <v>5</v>
      </c>
      <c r="AY24" s="10">
        <v>1</v>
      </c>
      <c r="AZ24" s="10">
        <v>1</v>
      </c>
      <c r="BA24" s="10">
        <v>0</v>
      </c>
      <c r="BB24" s="10">
        <v>3</v>
      </c>
      <c r="BC24" s="21">
        <v>0</v>
      </c>
      <c r="BD24" s="10">
        <v>0</v>
      </c>
      <c r="BE24" s="10">
        <v>0</v>
      </c>
      <c r="BF24" s="10">
        <v>0</v>
      </c>
      <c r="BG24" s="10">
        <v>0</v>
      </c>
      <c r="BH24" s="94"/>
      <c r="BI24" s="94"/>
      <c r="BJ24" s="10">
        <v>114</v>
      </c>
      <c r="BK24" s="12"/>
      <c r="BM24" s="23">
        <v>1</v>
      </c>
      <c r="BN24" s="23">
        <v>0</v>
      </c>
      <c r="BO24" s="23">
        <v>0</v>
      </c>
      <c r="BP24" s="23">
        <v>1</v>
      </c>
      <c r="BQ24" s="23">
        <v>0</v>
      </c>
      <c r="BR24" s="23">
        <v>0</v>
      </c>
      <c r="BS24" s="23">
        <v>0</v>
      </c>
      <c r="BT24" s="23">
        <v>0</v>
      </c>
      <c r="BU24" s="38">
        <v>43728.8256944444</v>
      </c>
      <c r="BV24" s="44"/>
      <c r="BW24" s="38">
        <v>43728.9375</v>
      </c>
      <c r="BX24" s="38">
        <v>43728.982638888898</v>
      </c>
      <c r="BY24" s="38">
        <v>43728.982638888898</v>
      </c>
      <c r="BZ24" s="26">
        <v>0</v>
      </c>
      <c r="CA24" s="26">
        <v>0</v>
      </c>
      <c r="CB24" s="23">
        <v>0</v>
      </c>
      <c r="CC24" s="23"/>
      <c r="CD24" s="23">
        <v>0</v>
      </c>
      <c r="CE24" s="23"/>
      <c r="CF24" s="23">
        <v>0</v>
      </c>
      <c r="CG24" s="23"/>
      <c r="CH24" s="103">
        <v>0</v>
      </c>
      <c r="CI24" s="23">
        <v>1</v>
      </c>
      <c r="CJ24" s="23">
        <v>0</v>
      </c>
      <c r="CK24" s="23">
        <v>0</v>
      </c>
      <c r="CL24" s="23">
        <v>1</v>
      </c>
      <c r="CM24" s="23">
        <v>0</v>
      </c>
      <c r="CN24" s="23">
        <v>0</v>
      </c>
      <c r="CO24" s="23">
        <v>0</v>
      </c>
      <c r="CP24" s="23">
        <v>0</v>
      </c>
      <c r="CQ24" s="23">
        <v>0</v>
      </c>
      <c r="CR24" s="23">
        <v>0</v>
      </c>
      <c r="CS24" s="23">
        <v>0</v>
      </c>
      <c r="CT24" s="23">
        <v>0</v>
      </c>
      <c r="CU24" s="23">
        <v>0</v>
      </c>
      <c r="CV24" s="23">
        <v>0</v>
      </c>
      <c r="CW24" s="23">
        <v>0</v>
      </c>
      <c r="CX24" s="25">
        <v>0</v>
      </c>
      <c r="CY24" s="25">
        <v>2</v>
      </c>
      <c r="CZ24" s="25">
        <v>0</v>
      </c>
      <c r="DA24" s="25">
        <v>2</v>
      </c>
      <c r="DB24" s="25">
        <v>0</v>
      </c>
      <c r="DC24" s="25">
        <v>4</v>
      </c>
      <c r="DD24" s="25">
        <v>0</v>
      </c>
      <c r="DE24" s="105">
        <v>3</v>
      </c>
      <c r="DF24" s="25">
        <v>0</v>
      </c>
      <c r="DG24" s="105">
        <v>3</v>
      </c>
      <c r="DH24" s="26">
        <v>0</v>
      </c>
      <c r="DI24" s="26">
        <v>2</v>
      </c>
      <c r="DJ24" s="10">
        <v>0</v>
      </c>
      <c r="DK24" s="24">
        <v>0</v>
      </c>
      <c r="DL24" s="32">
        <v>0</v>
      </c>
      <c r="DM24" s="32">
        <v>0</v>
      </c>
      <c r="DN24" s="32">
        <v>0</v>
      </c>
      <c r="DO24" s="32">
        <v>0</v>
      </c>
      <c r="DP24" s="32">
        <v>0</v>
      </c>
      <c r="DQ24" s="32">
        <v>0</v>
      </c>
      <c r="DR24" s="32">
        <v>1</v>
      </c>
      <c r="DS24" s="32">
        <v>2</v>
      </c>
      <c r="DT24" s="33">
        <v>2</v>
      </c>
      <c r="DU24" s="33"/>
      <c r="DV24" s="33"/>
      <c r="DW24" s="33">
        <v>0</v>
      </c>
      <c r="DX24" s="33"/>
      <c r="DY24" s="10">
        <v>1.89</v>
      </c>
      <c r="EA24" s="10">
        <v>72</v>
      </c>
      <c r="EB24" s="10">
        <v>376</v>
      </c>
      <c r="ED24" s="10">
        <v>143</v>
      </c>
      <c r="EE24" s="10">
        <v>6.4</v>
      </c>
      <c r="EF24" s="10">
        <v>99</v>
      </c>
      <c r="EL24" s="10">
        <v>9.9</v>
      </c>
      <c r="EN24" s="10">
        <v>2.9</v>
      </c>
      <c r="EO24" s="94">
        <v>0</v>
      </c>
      <c r="EP24" s="10">
        <v>104</v>
      </c>
      <c r="EQ24" s="10">
        <v>44</v>
      </c>
      <c r="ES24" s="94" t="s">
        <v>868</v>
      </c>
      <c r="ET24" s="10">
        <v>1</v>
      </c>
      <c r="EU24" s="10">
        <v>2</v>
      </c>
      <c r="EV24" s="10">
        <v>8</v>
      </c>
      <c r="EW24" s="94"/>
      <c r="EX24" s="10">
        <v>550</v>
      </c>
      <c r="EY24" s="10">
        <v>15</v>
      </c>
      <c r="EZ24" s="13"/>
      <c r="FA24" s="10">
        <v>1</v>
      </c>
      <c r="FD24" s="10">
        <v>6.8</v>
      </c>
      <c r="FE24" s="10">
        <v>7.03</v>
      </c>
      <c r="FF24" s="10" t="s">
        <v>611</v>
      </c>
      <c r="FI24" s="10">
        <v>1</v>
      </c>
      <c r="FJ24" s="10">
        <v>1</v>
      </c>
      <c r="FK24" s="10">
        <v>1</v>
      </c>
      <c r="FL24" s="10">
        <v>0</v>
      </c>
      <c r="FQ24" s="10">
        <v>2</v>
      </c>
      <c r="FR24" s="10">
        <v>4</v>
      </c>
      <c r="FS24" s="10">
        <v>2</v>
      </c>
      <c r="FT24" s="10">
        <v>170</v>
      </c>
      <c r="FU24" s="10">
        <v>2</v>
      </c>
      <c r="FV24" s="10">
        <v>1</v>
      </c>
      <c r="FW24" s="10">
        <v>0</v>
      </c>
      <c r="FX24" s="10">
        <v>0</v>
      </c>
      <c r="FY24" s="10">
        <v>2</v>
      </c>
      <c r="FZ24" s="10">
        <v>1</v>
      </c>
      <c r="GA24" s="10">
        <v>50</v>
      </c>
      <c r="GC24" s="52" t="s">
        <v>246</v>
      </c>
      <c r="GD24" s="10" t="s">
        <v>558</v>
      </c>
    </row>
    <row r="25" spans="1:187" s="10" customFormat="1" ht="15" x14ac:dyDescent="0.2">
      <c r="A25" s="22">
        <v>13490664</v>
      </c>
      <c r="B25" s="22">
        <v>0</v>
      </c>
      <c r="C25" s="29">
        <v>43703</v>
      </c>
      <c r="D25" s="10">
        <v>12</v>
      </c>
      <c r="E25" s="10">
        <v>14</v>
      </c>
      <c r="F25" s="10">
        <v>15</v>
      </c>
      <c r="G25" s="10">
        <f t="shared" si="0"/>
        <v>3</v>
      </c>
      <c r="H25" s="23">
        <v>1</v>
      </c>
      <c r="I25" s="23">
        <v>0</v>
      </c>
      <c r="J25" s="23">
        <v>48</v>
      </c>
      <c r="K25" s="23">
        <v>0</v>
      </c>
      <c r="L25" s="23">
        <v>1</v>
      </c>
      <c r="M25" s="23">
        <v>1</v>
      </c>
      <c r="N25" s="23"/>
      <c r="O25" s="23">
        <v>5</v>
      </c>
      <c r="P25" s="23">
        <v>0</v>
      </c>
      <c r="Q25" s="23">
        <v>70</v>
      </c>
      <c r="R25" s="23">
        <v>155</v>
      </c>
      <c r="S25" s="34">
        <f t="shared" si="1"/>
        <v>29.136316337148799</v>
      </c>
      <c r="T25" s="10">
        <v>0</v>
      </c>
      <c r="U25" s="23">
        <v>0</v>
      </c>
      <c r="V25" s="23">
        <v>2</v>
      </c>
      <c r="W25" s="38">
        <v>43703.298611111102</v>
      </c>
      <c r="X25" s="38">
        <v>43703.298611111102</v>
      </c>
      <c r="Y25" s="38">
        <v>43703.340277777803</v>
      </c>
      <c r="Z25" s="38">
        <v>43703.34375</v>
      </c>
      <c r="AA25" s="39">
        <f t="shared" si="2"/>
        <v>0</v>
      </c>
      <c r="AB25" s="39">
        <f t="shared" si="3"/>
        <v>60.000000048894435</v>
      </c>
      <c r="AC25" s="39">
        <f t="shared" si="4"/>
        <v>60.000000048894435</v>
      </c>
      <c r="AD25" s="41">
        <v>1</v>
      </c>
      <c r="AE25" s="22">
        <v>2</v>
      </c>
      <c r="AF25" s="22">
        <v>0</v>
      </c>
      <c r="AG25" s="14">
        <v>2</v>
      </c>
      <c r="AH25" s="14">
        <v>1</v>
      </c>
      <c r="AI25" s="23">
        <v>0</v>
      </c>
      <c r="AJ25" s="23">
        <v>0</v>
      </c>
      <c r="AK25" s="23">
        <v>0</v>
      </c>
      <c r="AL25" s="23">
        <v>1</v>
      </c>
      <c r="AM25" s="10">
        <v>7</v>
      </c>
      <c r="AN25" s="10">
        <v>0</v>
      </c>
      <c r="AO25" s="94"/>
      <c r="AP25" s="94">
        <v>0</v>
      </c>
      <c r="AQ25" s="94">
        <v>0</v>
      </c>
      <c r="AR25" s="94">
        <v>0</v>
      </c>
      <c r="AS25" s="94">
        <v>0</v>
      </c>
      <c r="AT25" s="94">
        <v>0</v>
      </c>
      <c r="AU25" s="94">
        <v>0</v>
      </c>
      <c r="AV25" s="94">
        <v>0</v>
      </c>
      <c r="AW25" s="94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1</v>
      </c>
      <c r="BC25" s="21">
        <v>1</v>
      </c>
      <c r="BD25" s="10">
        <v>0</v>
      </c>
      <c r="BE25" s="10">
        <v>0</v>
      </c>
      <c r="BF25" s="10">
        <v>0</v>
      </c>
      <c r="BG25" s="10">
        <v>0</v>
      </c>
      <c r="BH25" s="10">
        <v>1</v>
      </c>
      <c r="BI25" s="10">
        <v>0</v>
      </c>
      <c r="BJ25" s="10">
        <v>108</v>
      </c>
      <c r="BK25" s="12">
        <v>510</v>
      </c>
      <c r="BL25" s="10">
        <v>860</v>
      </c>
      <c r="BM25" s="23">
        <v>1</v>
      </c>
      <c r="BN25" s="23">
        <v>1</v>
      </c>
      <c r="BO25" s="23">
        <v>0</v>
      </c>
      <c r="BP25" s="23">
        <v>0</v>
      </c>
      <c r="BQ25" s="23">
        <v>1</v>
      </c>
      <c r="BR25" s="23">
        <v>0</v>
      </c>
      <c r="BS25" s="23">
        <v>0</v>
      </c>
      <c r="BT25" s="23">
        <v>0</v>
      </c>
      <c r="BU25" s="38">
        <v>43703.373611111099</v>
      </c>
      <c r="BV25" s="38">
        <v>43703.573611111096</v>
      </c>
      <c r="BW25" s="38">
        <v>43703.5625</v>
      </c>
      <c r="BX25" s="38">
        <v>43703.604166666701</v>
      </c>
      <c r="BY25" s="38">
        <v>43703.573611111096</v>
      </c>
      <c r="BZ25" s="104"/>
      <c r="CA25" s="104"/>
      <c r="CB25" s="23">
        <v>1</v>
      </c>
      <c r="CC25" s="23">
        <v>0</v>
      </c>
      <c r="CD25" s="23">
        <v>1</v>
      </c>
      <c r="CE25" s="23">
        <v>0</v>
      </c>
      <c r="CF25" s="23">
        <v>0</v>
      </c>
      <c r="CG25" s="23"/>
      <c r="CH25" s="104"/>
      <c r="CI25" s="23">
        <v>1</v>
      </c>
      <c r="CJ25" s="23">
        <v>1</v>
      </c>
      <c r="CK25" s="23">
        <v>1</v>
      </c>
      <c r="CL25" s="23">
        <v>1</v>
      </c>
      <c r="CM25" s="23">
        <v>1</v>
      </c>
      <c r="CN25" s="23">
        <v>1</v>
      </c>
      <c r="CO25" s="23">
        <v>0</v>
      </c>
      <c r="CP25" s="23">
        <v>0</v>
      </c>
      <c r="CQ25" s="23">
        <v>0</v>
      </c>
      <c r="CR25" s="23">
        <v>0</v>
      </c>
      <c r="CS25" s="23">
        <v>0</v>
      </c>
      <c r="CT25" s="23">
        <v>0</v>
      </c>
      <c r="CU25" s="23">
        <v>1</v>
      </c>
      <c r="CV25" s="23">
        <v>0</v>
      </c>
      <c r="CW25" s="23">
        <v>0</v>
      </c>
      <c r="CX25" s="24">
        <v>1</v>
      </c>
      <c r="CY25" s="32"/>
      <c r="CZ25" s="32">
        <v>1</v>
      </c>
      <c r="DA25" s="32"/>
      <c r="DB25" s="32">
        <v>0</v>
      </c>
      <c r="DC25" s="107">
        <v>2</v>
      </c>
      <c r="DD25" s="32">
        <v>1</v>
      </c>
      <c r="DE25" s="32"/>
      <c r="DF25" s="32">
        <v>1</v>
      </c>
      <c r="DG25" s="107"/>
      <c r="DH25" s="33">
        <v>2</v>
      </c>
      <c r="DI25" s="33">
        <v>0</v>
      </c>
      <c r="DJ25" s="10">
        <v>0</v>
      </c>
      <c r="DK25" s="25">
        <v>0</v>
      </c>
      <c r="DL25" s="25">
        <v>0</v>
      </c>
      <c r="DM25" s="25">
        <v>0</v>
      </c>
      <c r="DN25" s="25">
        <v>0</v>
      </c>
      <c r="DO25" s="25">
        <v>0</v>
      </c>
      <c r="DP25" s="25">
        <v>0</v>
      </c>
      <c r="DQ25" s="25">
        <v>0</v>
      </c>
      <c r="DR25" s="25">
        <v>1</v>
      </c>
      <c r="DS25" s="25">
        <v>0</v>
      </c>
      <c r="DT25" s="26">
        <v>0</v>
      </c>
      <c r="DU25" s="26">
        <v>0</v>
      </c>
      <c r="DV25" s="26">
        <v>0</v>
      </c>
      <c r="DW25" s="26">
        <v>0</v>
      </c>
      <c r="DX25" s="26"/>
      <c r="DY25" s="10">
        <v>1.62</v>
      </c>
      <c r="DZ25" s="10">
        <v>0.82</v>
      </c>
      <c r="EA25" s="10">
        <v>281</v>
      </c>
      <c r="EB25" s="10">
        <v>349</v>
      </c>
      <c r="ED25" s="10">
        <v>142</v>
      </c>
      <c r="EE25" s="10">
        <v>4.93</v>
      </c>
      <c r="EF25" s="10">
        <v>99</v>
      </c>
      <c r="EH25" s="10">
        <v>198</v>
      </c>
      <c r="EI25" s="10">
        <v>193</v>
      </c>
      <c r="EJ25" s="10">
        <v>36</v>
      </c>
      <c r="EK25" s="10">
        <v>0.1</v>
      </c>
      <c r="EL25" s="10">
        <v>9</v>
      </c>
      <c r="EO25" s="94"/>
      <c r="ES25" s="10">
        <v>4.5999999999999996</v>
      </c>
      <c r="ET25" s="10">
        <v>0</v>
      </c>
      <c r="EU25" s="10">
        <v>1</v>
      </c>
      <c r="EV25" s="10">
        <v>7</v>
      </c>
      <c r="EW25" s="94"/>
      <c r="EZ25" s="13"/>
      <c r="FI25" s="10">
        <v>1</v>
      </c>
      <c r="FJ25" s="10">
        <v>1</v>
      </c>
      <c r="FK25" s="10">
        <v>1</v>
      </c>
      <c r="FL25" s="10">
        <v>2</v>
      </c>
      <c r="FM25" s="10">
        <v>0</v>
      </c>
      <c r="FN25" s="10">
        <v>0</v>
      </c>
      <c r="FO25" s="10">
        <v>0</v>
      </c>
      <c r="FP25" s="10">
        <v>0</v>
      </c>
      <c r="FQ25" s="10">
        <v>2</v>
      </c>
      <c r="FR25" s="10">
        <v>1</v>
      </c>
      <c r="FS25" s="10">
        <v>0</v>
      </c>
      <c r="FU25" s="10">
        <v>1</v>
      </c>
      <c r="FV25" s="10">
        <v>4</v>
      </c>
      <c r="FW25" s="10">
        <v>0</v>
      </c>
      <c r="FX25" s="10">
        <v>0</v>
      </c>
      <c r="FY25" s="10">
        <v>1</v>
      </c>
      <c r="FZ25" s="10">
        <v>0</v>
      </c>
      <c r="GA25" s="10">
        <v>50</v>
      </c>
      <c r="GC25" s="52"/>
      <c r="GD25" s="10" t="s">
        <v>478</v>
      </c>
    </row>
    <row r="26" spans="1:187" s="10" customFormat="1" ht="15" x14ac:dyDescent="0.2">
      <c r="A26" s="22">
        <v>13486335</v>
      </c>
      <c r="B26" s="22">
        <v>0</v>
      </c>
      <c r="C26" s="29">
        <v>43685</v>
      </c>
      <c r="H26" s="23">
        <v>0</v>
      </c>
      <c r="I26" s="23">
        <v>0</v>
      </c>
      <c r="J26" s="23">
        <v>46</v>
      </c>
      <c r="K26" s="23">
        <v>1</v>
      </c>
      <c r="L26" s="23">
        <v>0</v>
      </c>
      <c r="M26" s="23">
        <v>1</v>
      </c>
      <c r="N26" s="23"/>
      <c r="O26" s="23">
        <v>2</v>
      </c>
      <c r="P26" s="23">
        <v>0</v>
      </c>
      <c r="Q26" s="23">
        <v>100</v>
      </c>
      <c r="R26" s="23">
        <v>185</v>
      </c>
      <c r="S26" s="34">
        <f t="shared" si="1"/>
        <v>29.218407596785973</v>
      </c>
      <c r="T26" s="10">
        <v>0</v>
      </c>
      <c r="U26" s="23">
        <v>0</v>
      </c>
      <c r="V26" s="23">
        <v>2</v>
      </c>
      <c r="W26" s="38">
        <v>43685.833333333299</v>
      </c>
      <c r="X26" s="38">
        <v>43685.845138888901</v>
      </c>
      <c r="Y26" s="38">
        <v>43685.895833333299</v>
      </c>
      <c r="Z26" s="38">
        <v>43685.90625</v>
      </c>
      <c r="AA26" s="39">
        <f t="shared" si="2"/>
        <v>17.000000065891072</v>
      </c>
      <c r="AB26" s="39">
        <f t="shared" si="3"/>
        <v>72.999999934108928</v>
      </c>
      <c r="AC26" s="39">
        <f t="shared" si="4"/>
        <v>90</v>
      </c>
      <c r="AD26" s="41">
        <v>0</v>
      </c>
      <c r="AE26" s="22">
        <v>1</v>
      </c>
      <c r="AF26" s="22">
        <v>3</v>
      </c>
      <c r="AG26" s="14">
        <v>1</v>
      </c>
      <c r="AH26" s="14">
        <v>4</v>
      </c>
      <c r="AI26" s="23">
        <v>0</v>
      </c>
      <c r="AJ26" s="23">
        <v>0</v>
      </c>
      <c r="AK26" s="23">
        <v>0</v>
      </c>
      <c r="AL26" s="23">
        <v>0</v>
      </c>
      <c r="AM26" s="10">
        <v>8</v>
      </c>
      <c r="AN26" s="10">
        <v>0</v>
      </c>
      <c r="AO26" s="94"/>
      <c r="AP26" s="10">
        <v>0</v>
      </c>
      <c r="AQ26" s="10">
        <v>1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1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21">
        <v>0</v>
      </c>
      <c r="BD26" s="10">
        <v>0</v>
      </c>
      <c r="BE26" s="10">
        <v>0</v>
      </c>
      <c r="BF26" s="10">
        <v>1</v>
      </c>
      <c r="BG26" s="10">
        <v>1</v>
      </c>
      <c r="BH26" s="10">
        <v>0</v>
      </c>
      <c r="BI26" s="10">
        <v>0</v>
      </c>
      <c r="BJ26" s="10">
        <v>140</v>
      </c>
      <c r="BK26" s="12"/>
      <c r="BM26" s="23">
        <v>1</v>
      </c>
      <c r="BN26" s="23">
        <v>0</v>
      </c>
      <c r="BO26" s="23">
        <v>0</v>
      </c>
      <c r="BP26" s="23">
        <v>1</v>
      </c>
      <c r="BQ26" s="23">
        <v>0</v>
      </c>
      <c r="BR26" s="23">
        <v>0</v>
      </c>
      <c r="BS26" s="23">
        <v>0</v>
      </c>
      <c r="BT26" s="23">
        <v>0</v>
      </c>
      <c r="BU26" s="38">
        <v>43685.9375</v>
      </c>
      <c r="BV26" s="44"/>
      <c r="BW26" s="38">
        <v>43686.104166666701</v>
      </c>
      <c r="BX26" s="38">
        <v>43686.122916666704</v>
      </c>
      <c r="BY26" s="38">
        <v>43686.122916666704</v>
      </c>
      <c r="BZ26" s="94"/>
      <c r="CA26" s="26">
        <v>1</v>
      </c>
      <c r="CB26" s="23">
        <v>1</v>
      </c>
      <c r="CC26" s="23">
        <v>0</v>
      </c>
      <c r="CD26" s="23">
        <v>1</v>
      </c>
      <c r="CE26" s="23">
        <v>0</v>
      </c>
      <c r="CF26" s="23">
        <v>0</v>
      </c>
      <c r="CG26" s="23"/>
      <c r="CH26" s="103">
        <v>0</v>
      </c>
      <c r="CI26" s="23">
        <v>1</v>
      </c>
      <c r="CJ26" s="23">
        <v>0</v>
      </c>
      <c r="CK26" s="23">
        <v>0</v>
      </c>
      <c r="CL26" s="23">
        <v>1</v>
      </c>
      <c r="CM26" s="23">
        <v>0</v>
      </c>
      <c r="CN26" s="23">
        <v>0</v>
      </c>
      <c r="CO26" s="23">
        <v>0</v>
      </c>
      <c r="CP26" s="23">
        <v>0</v>
      </c>
      <c r="CQ26" s="23">
        <v>0</v>
      </c>
      <c r="CR26" s="23">
        <v>0</v>
      </c>
      <c r="CS26" s="23">
        <v>0</v>
      </c>
      <c r="CT26" s="23">
        <v>0</v>
      </c>
      <c r="CU26" s="23">
        <v>0</v>
      </c>
      <c r="CV26" s="23">
        <v>0</v>
      </c>
      <c r="CW26" s="23">
        <v>0</v>
      </c>
      <c r="CX26" s="25">
        <v>0</v>
      </c>
      <c r="CY26" s="25">
        <v>2</v>
      </c>
      <c r="CZ26" s="25">
        <v>0</v>
      </c>
      <c r="DA26" s="25">
        <v>2</v>
      </c>
      <c r="DB26" s="25">
        <v>0</v>
      </c>
      <c r="DC26" s="25">
        <v>1</v>
      </c>
      <c r="DD26" s="25">
        <v>0</v>
      </c>
      <c r="DE26" s="105">
        <v>0</v>
      </c>
      <c r="DF26" s="25">
        <v>0</v>
      </c>
      <c r="DG26" s="105">
        <v>0</v>
      </c>
      <c r="DH26" s="26">
        <v>0</v>
      </c>
      <c r="DI26" s="26">
        <v>3</v>
      </c>
      <c r="DJ26" s="10">
        <v>0</v>
      </c>
      <c r="DK26" s="24">
        <v>0</v>
      </c>
      <c r="DL26" s="32">
        <v>0</v>
      </c>
      <c r="DM26" s="32">
        <v>0</v>
      </c>
      <c r="DN26" s="32">
        <v>0</v>
      </c>
      <c r="DO26" s="32">
        <v>0</v>
      </c>
      <c r="DP26" s="32">
        <v>0</v>
      </c>
      <c r="DQ26" s="32">
        <v>0</v>
      </c>
      <c r="DR26" s="32">
        <v>1</v>
      </c>
      <c r="DS26" s="32">
        <v>0</v>
      </c>
      <c r="DT26" s="33">
        <v>1</v>
      </c>
      <c r="DU26" s="33">
        <v>1</v>
      </c>
      <c r="DV26" s="33"/>
      <c r="DW26" s="33">
        <v>0</v>
      </c>
      <c r="DX26" s="33"/>
      <c r="DY26" s="10">
        <v>1.63</v>
      </c>
      <c r="EB26" s="10">
        <v>691</v>
      </c>
      <c r="ED26" s="10">
        <v>150</v>
      </c>
      <c r="EF26" s="10">
        <v>103</v>
      </c>
      <c r="EG26" s="10">
        <v>1521</v>
      </c>
      <c r="EH26" s="10">
        <v>301</v>
      </c>
      <c r="EI26" s="10">
        <v>211</v>
      </c>
      <c r="EJ26" s="10">
        <v>40</v>
      </c>
      <c r="EL26" s="10">
        <v>10.6</v>
      </c>
      <c r="EM26" s="10">
        <v>11.7</v>
      </c>
      <c r="EN26" s="10">
        <v>2.9</v>
      </c>
      <c r="EO26" s="94">
        <v>1</v>
      </c>
      <c r="ES26" s="94">
        <v>18</v>
      </c>
      <c r="ET26" s="10">
        <v>1</v>
      </c>
      <c r="EU26" s="10">
        <v>1</v>
      </c>
      <c r="EV26" s="10">
        <v>7</v>
      </c>
      <c r="EW26" s="10">
        <v>0</v>
      </c>
      <c r="EX26" s="10">
        <v>600</v>
      </c>
      <c r="EY26" s="10">
        <v>15</v>
      </c>
      <c r="EZ26" s="13" t="s">
        <v>673</v>
      </c>
      <c r="FA26" s="10">
        <v>1</v>
      </c>
      <c r="FD26" s="10">
        <v>7.15</v>
      </c>
      <c r="FE26" s="10">
        <v>7.35</v>
      </c>
      <c r="FF26" s="10" t="s">
        <v>560</v>
      </c>
      <c r="FI26" s="10">
        <v>1</v>
      </c>
      <c r="FJ26" s="10">
        <v>1</v>
      </c>
      <c r="FK26" s="10">
        <v>1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4</v>
      </c>
      <c r="FR26" s="10">
        <v>1</v>
      </c>
      <c r="FS26" s="10">
        <v>2</v>
      </c>
      <c r="FU26" s="10">
        <v>1</v>
      </c>
      <c r="FV26" s="10">
        <v>1</v>
      </c>
      <c r="FW26" s="10">
        <v>0</v>
      </c>
      <c r="FX26" s="10">
        <v>1</v>
      </c>
      <c r="FY26" s="10">
        <v>1</v>
      </c>
      <c r="FZ26" s="10">
        <v>4</v>
      </c>
      <c r="GA26" s="10">
        <v>40</v>
      </c>
      <c r="GC26" s="52" t="s">
        <v>243</v>
      </c>
      <c r="GD26" s="10" t="s">
        <v>559</v>
      </c>
    </row>
    <row r="27" spans="1:187" s="10" customFormat="1" ht="15" x14ac:dyDescent="0.2">
      <c r="A27" s="22">
        <v>13475776</v>
      </c>
      <c r="B27" s="22">
        <v>0</v>
      </c>
      <c r="C27" s="29">
        <v>43655</v>
      </c>
      <c r="H27" s="23">
        <v>1</v>
      </c>
      <c r="I27" s="23">
        <v>0</v>
      </c>
      <c r="J27" s="23">
        <v>41</v>
      </c>
      <c r="K27" s="23">
        <v>2</v>
      </c>
      <c r="L27" s="23">
        <v>0</v>
      </c>
      <c r="M27" s="23">
        <v>0</v>
      </c>
      <c r="N27" s="23">
        <v>0</v>
      </c>
      <c r="O27" s="23">
        <v>1</v>
      </c>
      <c r="P27" s="96"/>
      <c r="Q27" s="23">
        <v>110</v>
      </c>
      <c r="R27" s="23">
        <v>173</v>
      </c>
      <c r="S27" s="34">
        <f t="shared" si="1"/>
        <v>36.753650305723546</v>
      </c>
      <c r="T27" s="10">
        <v>0</v>
      </c>
      <c r="U27" s="23">
        <v>0</v>
      </c>
      <c r="V27" s="23">
        <v>1</v>
      </c>
      <c r="W27" s="38">
        <v>43655.726388888899</v>
      </c>
      <c r="X27" s="38">
        <v>43655.732638888898</v>
      </c>
      <c r="Y27" s="38">
        <v>43655.795138888898</v>
      </c>
      <c r="Z27" s="38">
        <v>43655.802083333299</v>
      </c>
      <c r="AA27" s="39">
        <f t="shared" si="2"/>
        <v>8.9999999979045242</v>
      </c>
      <c r="AB27" s="39">
        <f t="shared" si="3"/>
        <v>90</v>
      </c>
      <c r="AC27" s="39">
        <f t="shared" si="4"/>
        <v>98.999999997904524</v>
      </c>
      <c r="AD27" s="41">
        <v>0</v>
      </c>
      <c r="AE27" s="22">
        <v>1</v>
      </c>
      <c r="AF27" s="22">
        <v>2</v>
      </c>
      <c r="AG27" s="14">
        <v>1</v>
      </c>
      <c r="AH27" s="14">
        <v>1</v>
      </c>
      <c r="AI27" s="23">
        <v>0</v>
      </c>
      <c r="AJ27" s="23">
        <v>0</v>
      </c>
      <c r="AK27" s="23">
        <v>0</v>
      </c>
      <c r="AL27" s="23">
        <v>1</v>
      </c>
      <c r="AM27" s="10">
        <v>6</v>
      </c>
      <c r="AN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1</v>
      </c>
      <c r="BC27" s="21">
        <v>1</v>
      </c>
      <c r="BD27" s="10">
        <v>0</v>
      </c>
      <c r="BE27" s="10">
        <v>0</v>
      </c>
      <c r="BF27" s="10">
        <v>1</v>
      </c>
      <c r="BG27" s="10">
        <v>0</v>
      </c>
      <c r="BH27" s="10">
        <v>0</v>
      </c>
      <c r="BI27" s="10">
        <v>0</v>
      </c>
      <c r="BJ27" s="10">
        <v>111</v>
      </c>
      <c r="BK27" s="12"/>
      <c r="BM27" s="23">
        <v>1</v>
      </c>
      <c r="BN27" s="23">
        <v>0</v>
      </c>
      <c r="BO27" s="23">
        <v>0</v>
      </c>
      <c r="BP27" s="23">
        <v>0</v>
      </c>
      <c r="BQ27" s="23">
        <v>1</v>
      </c>
      <c r="BR27" s="23">
        <v>0</v>
      </c>
      <c r="BS27" s="23">
        <v>0</v>
      </c>
      <c r="BT27" s="23">
        <v>0</v>
      </c>
      <c r="BU27" s="38">
        <v>43655.829861111102</v>
      </c>
      <c r="BV27" s="38">
        <v>43655.944444444402</v>
      </c>
      <c r="BW27" s="38">
        <v>43655.934027777803</v>
      </c>
      <c r="BX27" s="38">
        <v>43655.958333333299</v>
      </c>
      <c r="BY27" s="38">
        <v>43655.934027777803</v>
      </c>
      <c r="BZ27" s="103"/>
      <c r="CA27" s="103"/>
      <c r="CB27" s="23">
        <v>1</v>
      </c>
      <c r="CC27" s="23">
        <v>0</v>
      </c>
      <c r="CD27" s="23">
        <v>1</v>
      </c>
      <c r="CE27" s="23">
        <v>0</v>
      </c>
      <c r="CF27" s="23">
        <v>0</v>
      </c>
      <c r="CG27" s="23"/>
      <c r="CH27" s="103"/>
      <c r="CI27" s="23">
        <v>1</v>
      </c>
      <c r="CJ27" s="23">
        <v>0</v>
      </c>
      <c r="CK27" s="23">
        <v>0</v>
      </c>
      <c r="CL27" s="23">
        <v>1</v>
      </c>
      <c r="CM27" s="23">
        <v>0</v>
      </c>
      <c r="CN27" s="23">
        <v>0</v>
      </c>
      <c r="CO27" s="23">
        <v>0</v>
      </c>
      <c r="CP27" s="23">
        <v>0</v>
      </c>
      <c r="CQ27" s="23">
        <v>0</v>
      </c>
      <c r="CR27" s="23">
        <v>0</v>
      </c>
      <c r="CS27" s="23">
        <v>0</v>
      </c>
      <c r="CT27" s="23">
        <v>0</v>
      </c>
      <c r="CU27" s="23">
        <v>0</v>
      </c>
      <c r="CV27" s="23">
        <v>0</v>
      </c>
      <c r="CW27" s="23">
        <v>0</v>
      </c>
      <c r="CX27" s="25">
        <v>0</v>
      </c>
      <c r="CY27" s="25">
        <v>4</v>
      </c>
      <c r="CZ27" s="25">
        <v>0</v>
      </c>
      <c r="DA27" s="25">
        <v>4</v>
      </c>
      <c r="DB27" s="25">
        <v>0</v>
      </c>
      <c r="DC27" s="25">
        <v>4</v>
      </c>
      <c r="DD27" s="25">
        <v>0</v>
      </c>
      <c r="DE27" s="105">
        <v>0</v>
      </c>
      <c r="DF27" s="25">
        <v>0</v>
      </c>
      <c r="DG27" s="105">
        <v>0</v>
      </c>
      <c r="DH27" s="26">
        <v>0</v>
      </c>
      <c r="DI27" s="26">
        <v>2</v>
      </c>
      <c r="DJ27" s="10">
        <v>0</v>
      </c>
      <c r="DK27" s="25">
        <v>0</v>
      </c>
      <c r="DL27" s="25">
        <v>0</v>
      </c>
      <c r="DM27" s="25">
        <v>0</v>
      </c>
      <c r="DN27" s="25">
        <v>1</v>
      </c>
      <c r="DO27" s="25">
        <v>0</v>
      </c>
      <c r="DP27" s="25">
        <v>0</v>
      </c>
      <c r="DQ27" s="25">
        <v>0</v>
      </c>
      <c r="DR27" s="25">
        <v>0</v>
      </c>
      <c r="DS27" s="25">
        <v>0</v>
      </c>
      <c r="DT27" s="26">
        <v>0</v>
      </c>
      <c r="DU27" s="26">
        <v>0</v>
      </c>
      <c r="DV27" s="26">
        <v>0</v>
      </c>
      <c r="DW27" s="26">
        <v>0</v>
      </c>
      <c r="DX27" s="26"/>
      <c r="DY27" s="10">
        <v>1.19</v>
      </c>
      <c r="DZ27" s="10">
        <v>0.8</v>
      </c>
      <c r="EB27" s="10">
        <v>705</v>
      </c>
      <c r="ED27" s="10">
        <v>136</v>
      </c>
      <c r="EE27" s="10">
        <v>14.95</v>
      </c>
      <c r="EF27" s="10">
        <v>85</v>
      </c>
      <c r="EG27" s="10">
        <v>1808</v>
      </c>
      <c r="EH27" s="10">
        <v>293</v>
      </c>
      <c r="EI27" s="10">
        <v>550</v>
      </c>
      <c r="EJ27" s="10">
        <v>468</v>
      </c>
      <c r="EK27" s="10">
        <v>0.6</v>
      </c>
      <c r="EL27" s="10" t="s">
        <v>875</v>
      </c>
      <c r="EO27" s="94">
        <v>1</v>
      </c>
      <c r="EQ27" s="10">
        <v>25</v>
      </c>
      <c r="ET27" s="10">
        <v>0</v>
      </c>
      <c r="EU27" s="10">
        <v>1</v>
      </c>
      <c r="EV27" s="10">
        <v>7</v>
      </c>
      <c r="EW27" s="94">
        <v>0</v>
      </c>
      <c r="EZ27" s="13"/>
      <c r="FI27" s="10">
        <v>1</v>
      </c>
      <c r="FJ27" s="10">
        <v>1</v>
      </c>
      <c r="FK27" s="10">
        <v>1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5</v>
      </c>
      <c r="FR27" s="10">
        <v>1</v>
      </c>
      <c r="FS27" s="10">
        <v>0</v>
      </c>
      <c r="FU27" s="10">
        <v>1</v>
      </c>
      <c r="FV27" s="10">
        <v>4</v>
      </c>
      <c r="FW27" s="94">
        <v>0</v>
      </c>
      <c r="FX27" s="94"/>
      <c r="FY27" s="10">
        <v>1</v>
      </c>
      <c r="FZ27" s="10">
        <v>0</v>
      </c>
      <c r="GA27" s="94"/>
      <c r="GC27" s="52" t="s">
        <v>243</v>
      </c>
      <c r="GD27" s="10" t="s">
        <v>477</v>
      </c>
    </row>
    <row r="28" spans="1:187" s="10" customFormat="1" ht="15" x14ac:dyDescent="0.2">
      <c r="A28" s="22">
        <v>13475135</v>
      </c>
      <c r="B28" s="22">
        <v>0</v>
      </c>
      <c r="C28" s="29">
        <v>43653</v>
      </c>
      <c r="E28" s="10">
        <v>34</v>
      </c>
      <c r="H28" s="23">
        <v>1</v>
      </c>
      <c r="I28" s="23">
        <v>1</v>
      </c>
      <c r="J28" s="23">
        <v>18</v>
      </c>
      <c r="K28" s="23">
        <v>1</v>
      </c>
      <c r="L28" s="23">
        <v>0</v>
      </c>
      <c r="M28" s="23">
        <v>1</v>
      </c>
      <c r="N28" s="23"/>
      <c r="O28" s="23">
        <v>6</v>
      </c>
      <c r="P28" s="96"/>
      <c r="Q28" s="23">
        <v>70</v>
      </c>
      <c r="R28" s="23">
        <v>165</v>
      </c>
      <c r="S28" s="34">
        <f t="shared" si="1"/>
        <v>25.711662075298442</v>
      </c>
      <c r="T28" s="10">
        <v>0</v>
      </c>
      <c r="U28" s="23">
        <v>0</v>
      </c>
      <c r="V28" s="23">
        <v>0</v>
      </c>
      <c r="W28" s="38">
        <v>43653.704861111102</v>
      </c>
      <c r="X28" s="38">
        <v>43653.708333333299</v>
      </c>
      <c r="Y28" s="38">
        <v>43653.78125</v>
      </c>
      <c r="Z28" s="38">
        <v>43653.791666666701</v>
      </c>
      <c r="AA28" s="39">
        <f t="shared" si="2"/>
        <v>4.9999999639112502</v>
      </c>
      <c r="AB28" s="39">
        <f t="shared" si="3"/>
        <v>105.00000004889444</v>
      </c>
      <c r="AC28" s="39">
        <f t="shared" si="4"/>
        <v>110.00000001280569</v>
      </c>
      <c r="AD28" s="41">
        <v>0</v>
      </c>
      <c r="AE28" s="22">
        <v>0</v>
      </c>
      <c r="AF28" s="22">
        <v>0</v>
      </c>
      <c r="AG28" s="14">
        <v>1</v>
      </c>
      <c r="AH28" s="14">
        <v>5</v>
      </c>
      <c r="AI28" s="23">
        <v>0</v>
      </c>
      <c r="AJ28" s="23">
        <v>0</v>
      </c>
      <c r="AK28" s="23">
        <v>0</v>
      </c>
      <c r="AL28" s="23">
        <v>1</v>
      </c>
      <c r="AM28" s="10">
        <v>13</v>
      </c>
      <c r="AN28" s="10">
        <v>0</v>
      </c>
      <c r="AO28" s="10">
        <v>500</v>
      </c>
      <c r="AP28" s="10">
        <v>0</v>
      </c>
      <c r="AQ28" s="10">
        <v>1</v>
      </c>
      <c r="AR28" s="10">
        <v>0</v>
      </c>
      <c r="AS28" s="10">
        <v>1</v>
      </c>
      <c r="AT28" s="10">
        <v>0</v>
      </c>
      <c r="AU28" s="10">
        <v>0</v>
      </c>
      <c r="AV28" s="10">
        <v>1</v>
      </c>
      <c r="AW28" s="10">
        <v>1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21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1</v>
      </c>
      <c r="BI28" s="10">
        <v>0</v>
      </c>
      <c r="BJ28" s="10">
        <v>160</v>
      </c>
      <c r="BK28" s="12"/>
      <c r="BM28" s="23">
        <v>1</v>
      </c>
      <c r="BN28" s="23">
        <v>0</v>
      </c>
      <c r="BO28" s="23">
        <v>0</v>
      </c>
      <c r="BP28" s="23">
        <v>0</v>
      </c>
      <c r="BQ28" s="23">
        <v>1</v>
      </c>
      <c r="BR28" s="23">
        <v>0</v>
      </c>
      <c r="BS28" s="23">
        <v>0</v>
      </c>
      <c r="BT28" s="23">
        <v>0</v>
      </c>
      <c r="BU28" s="38">
        <v>43653.817361111098</v>
      </c>
      <c r="BV28" s="38">
        <v>43653.958333333299</v>
      </c>
      <c r="BW28" s="38">
        <v>43653.822916666664</v>
      </c>
      <c r="BX28" s="38">
        <v>43653.927083333299</v>
      </c>
      <c r="BY28" s="47">
        <v>43653.9375</v>
      </c>
      <c r="BZ28" s="103"/>
      <c r="CA28" s="103"/>
      <c r="CB28" s="23">
        <v>0</v>
      </c>
      <c r="CC28" s="23"/>
      <c r="CD28" s="23">
        <v>0</v>
      </c>
      <c r="CE28" s="23"/>
      <c r="CF28" s="23">
        <v>0</v>
      </c>
      <c r="CG28" s="23"/>
      <c r="CH28" s="103"/>
      <c r="CI28" s="23">
        <v>1</v>
      </c>
      <c r="CJ28" s="23">
        <v>0</v>
      </c>
      <c r="CK28" s="23">
        <v>0</v>
      </c>
      <c r="CL28" s="23">
        <v>1</v>
      </c>
      <c r="CM28" s="23">
        <v>0</v>
      </c>
      <c r="CN28" s="23">
        <v>0</v>
      </c>
      <c r="CO28" s="23">
        <v>0</v>
      </c>
      <c r="CP28" s="23">
        <v>0</v>
      </c>
      <c r="CQ28" s="23">
        <v>0</v>
      </c>
      <c r="CR28" s="23">
        <v>0</v>
      </c>
      <c r="CS28" s="23">
        <v>0</v>
      </c>
      <c r="CT28" s="23">
        <v>0</v>
      </c>
      <c r="CU28" s="23">
        <v>0</v>
      </c>
      <c r="CV28" s="23">
        <v>0</v>
      </c>
      <c r="CW28" s="23">
        <v>0</v>
      </c>
      <c r="CX28" s="25">
        <v>0</v>
      </c>
      <c r="CY28" s="25">
        <v>5</v>
      </c>
      <c r="CZ28" s="25">
        <v>0</v>
      </c>
      <c r="DA28" s="25">
        <v>5</v>
      </c>
      <c r="DB28" s="25">
        <v>0</v>
      </c>
      <c r="DC28" s="25">
        <v>0</v>
      </c>
      <c r="DD28" s="25">
        <v>0</v>
      </c>
      <c r="DE28" s="105">
        <v>2</v>
      </c>
      <c r="DF28" s="25">
        <v>0</v>
      </c>
      <c r="DG28" s="105">
        <v>2</v>
      </c>
      <c r="DH28" s="26">
        <v>0</v>
      </c>
      <c r="DI28" s="26">
        <v>3</v>
      </c>
      <c r="DJ28" s="10">
        <v>0</v>
      </c>
      <c r="DK28" s="25">
        <v>0</v>
      </c>
      <c r="DL28" s="25">
        <v>0</v>
      </c>
      <c r="DM28" s="25">
        <v>0</v>
      </c>
      <c r="DN28" s="25">
        <v>0</v>
      </c>
      <c r="DO28" s="25">
        <v>0</v>
      </c>
      <c r="DP28" s="25">
        <v>0</v>
      </c>
      <c r="DQ28" s="25">
        <v>0</v>
      </c>
      <c r="DR28" s="25">
        <v>1</v>
      </c>
      <c r="DS28" s="25">
        <v>0</v>
      </c>
      <c r="DT28" s="26">
        <v>0</v>
      </c>
      <c r="DU28" s="26">
        <v>0</v>
      </c>
      <c r="DV28" s="26">
        <v>0</v>
      </c>
      <c r="DW28" s="26">
        <v>0</v>
      </c>
      <c r="DX28" s="26"/>
      <c r="DY28" s="10">
        <v>1.7</v>
      </c>
      <c r="EB28" s="10">
        <v>146</v>
      </c>
      <c r="EC28" s="10">
        <v>1</v>
      </c>
      <c r="ED28" s="10">
        <v>139</v>
      </c>
      <c r="EF28" s="10">
        <v>86</v>
      </c>
      <c r="EH28" s="10">
        <v>747</v>
      </c>
      <c r="EI28" s="10">
        <v>804</v>
      </c>
      <c r="EJ28" s="10">
        <v>37</v>
      </c>
      <c r="EK28" s="10">
        <v>0.4</v>
      </c>
      <c r="EL28" s="10" t="s">
        <v>884</v>
      </c>
      <c r="EO28" s="94"/>
      <c r="ET28" s="10">
        <v>1</v>
      </c>
      <c r="EU28" s="10">
        <v>1</v>
      </c>
      <c r="EV28" s="10">
        <v>7</v>
      </c>
      <c r="EW28" s="10">
        <v>1</v>
      </c>
      <c r="EX28" s="10">
        <v>500</v>
      </c>
      <c r="EY28" s="10">
        <v>40</v>
      </c>
      <c r="EZ28" s="13"/>
      <c r="FI28" s="10">
        <v>1</v>
      </c>
      <c r="FJ28" s="10">
        <v>1</v>
      </c>
      <c r="FK28" s="10">
        <v>1</v>
      </c>
      <c r="FL28" s="10">
        <v>4</v>
      </c>
      <c r="FM28" s="10">
        <v>0</v>
      </c>
      <c r="FN28" s="10">
        <v>0</v>
      </c>
      <c r="FO28" s="10">
        <v>0</v>
      </c>
      <c r="FP28" s="10">
        <v>0</v>
      </c>
      <c r="FQ28" s="10">
        <v>5</v>
      </c>
      <c r="FR28" s="10">
        <v>2</v>
      </c>
      <c r="FS28" s="10">
        <v>0</v>
      </c>
      <c r="FU28" s="10">
        <v>0</v>
      </c>
      <c r="FV28" s="10">
        <v>4</v>
      </c>
      <c r="FW28" s="10">
        <v>0</v>
      </c>
      <c r="FX28" s="10">
        <v>0</v>
      </c>
      <c r="FY28" s="10">
        <v>1</v>
      </c>
      <c r="FZ28" s="10">
        <v>3</v>
      </c>
      <c r="GA28" s="10">
        <v>20</v>
      </c>
      <c r="GC28" s="52" t="s">
        <v>247</v>
      </c>
    </row>
    <row r="29" spans="1:187" s="10" customFormat="1" ht="15" x14ac:dyDescent="0.2">
      <c r="A29" s="22">
        <v>13474461</v>
      </c>
      <c r="B29" s="22">
        <v>0</v>
      </c>
      <c r="C29" s="29">
        <v>43647</v>
      </c>
      <c r="D29" s="10">
        <v>40</v>
      </c>
      <c r="E29" s="10">
        <v>32</v>
      </c>
      <c r="F29" s="10">
        <v>20</v>
      </c>
      <c r="G29" s="10">
        <f t="shared" si="0"/>
        <v>-20</v>
      </c>
      <c r="H29" s="23">
        <v>0</v>
      </c>
      <c r="I29" s="23">
        <v>0</v>
      </c>
      <c r="J29" s="23">
        <v>43</v>
      </c>
      <c r="K29" s="23">
        <v>0</v>
      </c>
      <c r="L29" s="23">
        <v>0</v>
      </c>
      <c r="M29" s="23">
        <v>1</v>
      </c>
      <c r="N29" s="23">
        <v>0</v>
      </c>
      <c r="O29" s="23">
        <v>2</v>
      </c>
      <c r="P29" s="23">
        <v>0</v>
      </c>
      <c r="Q29" s="23">
        <v>70</v>
      </c>
      <c r="R29" s="23">
        <v>173</v>
      </c>
      <c r="S29" s="34">
        <f t="shared" si="1"/>
        <v>23.388686558187711</v>
      </c>
      <c r="T29" s="10">
        <v>4</v>
      </c>
      <c r="U29" s="23">
        <v>1</v>
      </c>
      <c r="V29" s="23">
        <v>2</v>
      </c>
      <c r="W29" s="38">
        <v>43647.920138888898</v>
      </c>
      <c r="X29" s="38">
        <v>43647.930555555598</v>
      </c>
      <c r="Y29" s="38">
        <v>43647.975694444402</v>
      </c>
      <c r="Z29" s="38">
        <v>43647.986111111102</v>
      </c>
      <c r="AA29" s="39">
        <f t="shared" si="2"/>
        <v>15.000000048894435</v>
      </c>
      <c r="AB29" s="39">
        <f t="shared" si="3"/>
        <v>64.999999876599759</v>
      </c>
      <c r="AC29" s="39">
        <f t="shared" si="4"/>
        <v>79.999999925494194</v>
      </c>
      <c r="AD29" s="41">
        <v>0</v>
      </c>
      <c r="AE29" s="22">
        <v>1</v>
      </c>
      <c r="AF29" s="22">
        <v>5</v>
      </c>
      <c r="AG29" s="99">
        <v>8</v>
      </c>
      <c r="AH29" s="11">
        <v>2</v>
      </c>
      <c r="AI29" s="23">
        <v>1</v>
      </c>
      <c r="AJ29" s="23"/>
      <c r="AK29" s="23">
        <v>0</v>
      </c>
      <c r="AL29" s="23">
        <v>0</v>
      </c>
      <c r="AM29" s="10">
        <v>8</v>
      </c>
      <c r="AO29" s="10">
        <v>500</v>
      </c>
      <c r="AP29" s="10">
        <v>0</v>
      </c>
      <c r="AQ29" s="10">
        <v>1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1</v>
      </c>
      <c r="AX29" s="10">
        <v>5</v>
      </c>
      <c r="AY29" s="10">
        <v>0</v>
      </c>
      <c r="AZ29" s="10">
        <v>0</v>
      </c>
      <c r="BA29" s="10">
        <v>0</v>
      </c>
      <c r="BB29" s="10">
        <v>3</v>
      </c>
      <c r="BC29" s="21">
        <v>0</v>
      </c>
      <c r="BD29" s="10">
        <v>0</v>
      </c>
      <c r="BE29" s="10">
        <v>0</v>
      </c>
      <c r="BF29" s="10">
        <v>1</v>
      </c>
      <c r="BG29" s="10">
        <v>0</v>
      </c>
      <c r="BH29" s="10">
        <v>0</v>
      </c>
      <c r="BI29" s="10">
        <v>0</v>
      </c>
      <c r="BJ29" s="10">
        <v>125</v>
      </c>
      <c r="BK29" s="12">
        <v>870</v>
      </c>
      <c r="BM29" s="23">
        <v>1</v>
      </c>
      <c r="BN29" s="23">
        <v>0</v>
      </c>
      <c r="BO29" s="23">
        <v>0</v>
      </c>
      <c r="BP29" s="23">
        <v>1</v>
      </c>
      <c r="BQ29" s="23">
        <v>0</v>
      </c>
      <c r="BR29" s="23">
        <v>0</v>
      </c>
      <c r="BS29" s="23">
        <v>0</v>
      </c>
      <c r="BT29" s="23">
        <v>0</v>
      </c>
      <c r="BU29" s="38">
        <v>43648.006944444402</v>
      </c>
      <c r="BV29" s="44"/>
      <c r="BW29" s="38">
        <v>43648.145833333299</v>
      </c>
      <c r="BX29" s="38">
        <v>43648.1875</v>
      </c>
      <c r="BY29" s="38">
        <v>43648.1875</v>
      </c>
      <c r="BZ29" s="26">
        <v>0</v>
      </c>
      <c r="CA29" s="26">
        <v>0</v>
      </c>
      <c r="CB29" s="23">
        <v>1</v>
      </c>
      <c r="CC29" s="23">
        <v>0</v>
      </c>
      <c r="CD29" s="23">
        <v>0</v>
      </c>
      <c r="CE29" s="23"/>
      <c r="CF29" s="23">
        <v>0</v>
      </c>
      <c r="CG29" s="23"/>
      <c r="CH29" s="103">
        <v>0</v>
      </c>
      <c r="CI29" s="23">
        <v>1</v>
      </c>
      <c r="CJ29" s="23">
        <v>0</v>
      </c>
      <c r="CK29" s="23">
        <v>0</v>
      </c>
      <c r="CL29" s="23">
        <v>1</v>
      </c>
      <c r="CM29" s="23">
        <v>0</v>
      </c>
      <c r="CN29" s="23">
        <v>0</v>
      </c>
      <c r="CO29" s="23">
        <v>0</v>
      </c>
      <c r="CP29" s="23">
        <v>0</v>
      </c>
      <c r="CQ29" s="23">
        <v>0</v>
      </c>
      <c r="CR29" s="23">
        <v>0</v>
      </c>
      <c r="CS29" s="23">
        <v>0</v>
      </c>
      <c r="CT29" s="23">
        <v>0</v>
      </c>
      <c r="CU29" s="23">
        <v>0</v>
      </c>
      <c r="CV29" s="23">
        <v>0</v>
      </c>
      <c r="CW29" s="23">
        <v>0</v>
      </c>
      <c r="CX29" s="25">
        <v>0</v>
      </c>
      <c r="CY29" s="25">
        <v>2</v>
      </c>
      <c r="CZ29" s="25">
        <v>0</v>
      </c>
      <c r="DA29" s="25">
        <v>2</v>
      </c>
      <c r="DB29" s="25">
        <v>0</v>
      </c>
      <c r="DC29" s="25">
        <v>0</v>
      </c>
      <c r="DD29" s="25">
        <v>0</v>
      </c>
      <c r="DE29" s="105">
        <v>5</v>
      </c>
      <c r="DF29" s="25">
        <v>0</v>
      </c>
      <c r="DG29" s="105">
        <v>5</v>
      </c>
      <c r="DH29" s="26">
        <v>0</v>
      </c>
      <c r="DI29" s="26">
        <v>0</v>
      </c>
      <c r="DJ29" s="10">
        <v>0</v>
      </c>
      <c r="DK29" s="25">
        <v>0</v>
      </c>
      <c r="DL29" s="25">
        <v>0</v>
      </c>
      <c r="DM29" s="25">
        <v>0</v>
      </c>
      <c r="DN29" s="25">
        <v>0</v>
      </c>
      <c r="DO29" s="25">
        <v>0</v>
      </c>
      <c r="DP29" s="25">
        <v>0</v>
      </c>
      <c r="DQ29" s="25">
        <v>0</v>
      </c>
      <c r="DR29" s="25">
        <v>1</v>
      </c>
      <c r="DS29" s="25">
        <v>0</v>
      </c>
      <c r="DT29" s="26">
        <v>1</v>
      </c>
      <c r="DU29" s="26">
        <v>0</v>
      </c>
      <c r="DV29" s="26">
        <v>0</v>
      </c>
      <c r="DW29" s="26">
        <v>0</v>
      </c>
      <c r="DX29" s="26"/>
      <c r="DY29" s="10">
        <v>1.49</v>
      </c>
      <c r="EA29" s="10">
        <v>228</v>
      </c>
      <c r="EB29" s="10">
        <v>376</v>
      </c>
      <c r="ED29" s="10">
        <v>141</v>
      </c>
      <c r="EE29" s="10">
        <v>6</v>
      </c>
      <c r="EF29" s="10">
        <v>104</v>
      </c>
      <c r="EG29" s="10">
        <v>2483</v>
      </c>
      <c r="EH29" s="10">
        <v>720</v>
      </c>
      <c r="EI29" s="10">
        <v>489</v>
      </c>
      <c r="EJ29" s="10">
        <v>23</v>
      </c>
      <c r="EK29" s="10">
        <v>0.2</v>
      </c>
      <c r="EN29" s="10">
        <v>2.9</v>
      </c>
      <c r="EO29" s="94">
        <v>0</v>
      </c>
      <c r="EP29" s="10">
        <v>99</v>
      </c>
      <c r="EQ29" s="10">
        <v>14</v>
      </c>
      <c r="ES29" s="10">
        <v>16.100000000000001</v>
      </c>
      <c r="ET29" s="10">
        <v>1</v>
      </c>
      <c r="EU29" s="10">
        <v>0</v>
      </c>
      <c r="EV29" s="10">
        <v>8</v>
      </c>
      <c r="EW29" s="10">
        <v>0</v>
      </c>
      <c r="EX29" s="10">
        <v>500</v>
      </c>
      <c r="EY29" s="10">
        <v>12</v>
      </c>
      <c r="EZ29" s="13" t="s">
        <v>673</v>
      </c>
      <c r="FA29" s="10">
        <v>1</v>
      </c>
      <c r="FD29" s="10">
        <v>7.53</v>
      </c>
      <c r="FE29" s="10">
        <v>7.25</v>
      </c>
      <c r="FF29" s="10" t="s">
        <v>573</v>
      </c>
      <c r="FI29" s="10">
        <v>1</v>
      </c>
      <c r="FJ29" s="10">
        <v>1</v>
      </c>
      <c r="FK29" s="10">
        <v>1</v>
      </c>
      <c r="FL29" s="10">
        <v>3</v>
      </c>
      <c r="FM29" s="10">
        <v>0</v>
      </c>
      <c r="FN29" s="10">
        <v>0</v>
      </c>
      <c r="FO29" s="10">
        <v>0</v>
      </c>
      <c r="FP29" s="10">
        <v>1</v>
      </c>
      <c r="FQ29" s="10">
        <v>2</v>
      </c>
      <c r="FR29" s="10">
        <v>2</v>
      </c>
      <c r="FS29" s="10">
        <v>2</v>
      </c>
      <c r="FT29" s="10">
        <v>45</v>
      </c>
      <c r="FU29" s="10">
        <v>1</v>
      </c>
      <c r="FV29" s="10">
        <v>1</v>
      </c>
      <c r="FW29" s="10">
        <v>0</v>
      </c>
      <c r="FX29" s="10">
        <v>0</v>
      </c>
      <c r="FY29" s="10">
        <v>0</v>
      </c>
      <c r="FZ29" s="10">
        <v>1</v>
      </c>
      <c r="GA29" s="10">
        <v>75</v>
      </c>
      <c r="GC29" s="52" t="s">
        <v>489</v>
      </c>
      <c r="GD29" s="10" t="s">
        <v>572</v>
      </c>
    </row>
    <row r="30" spans="1:187" s="10" customFormat="1" ht="15" x14ac:dyDescent="0.2">
      <c r="A30" s="22">
        <v>13465943</v>
      </c>
      <c r="B30" s="22">
        <v>0</v>
      </c>
      <c r="C30" s="29">
        <v>43614</v>
      </c>
      <c r="D30" s="10">
        <v>38</v>
      </c>
      <c r="E30" s="10">
        <v>23</v>
      </c>
      <c r="F30" s="10">
        <v>8</v>
      </c>
      <c r="G30" s="10">
        <f t="shared" si="0"/>
        <v>-30</v>
      </c>
      <c r="H30" s="23">
        <v>1</v>
      </c>
      <c r="I30" s="23">
        <v>0</v>
      </c>
      <c r="J30" s="23">
        <v>55</v>
      </c>
      <c r="K30" s="23">
        <v>0</v>
      </c>
      <c r="L30" s="23">
        <v>0</v>
      </c>
      <c r="M30" s="23">
        <v>1</v>
      </c>
      <c r="N30" s="23"/>
      <c r="O30" s="23">
        <v>0</v>
      </c>
      <c r="P30" s="96"/>
      <c r="Q30" s="23">
        <v>75</v>
      </c>
      <c r="R30" s="23">
        <v>160</v>
      </c>
      <c r="S30" s="34">
        <f t="shared" si="1"/>
        <v>29.296874999999993</v>
      </c>
      <c r="T30" s="10">
        <v>7</v>
      </c>
      <c r="U30" s="23">
        <v>0</v>
      </c>
      <c r="V30" s="23">
        <v>3</v>
      </c>
      <c r="W30" s="38">
        <v>43614.402777777803</v>
      </c>
      <c r="X30" s="38">
        <v>43614.416666666701</v>
      </c>
      <c r="Y30" s="38">
        <v>43614.451388888898</v>
      </c>
      <c r="Z30" s="38">
        <v>43614.458333333299</v>
      </c>
      <c r="AA30" s="39">
        <f t="shared" si="2"/>
        <v>20.000000012805685</v>
      </c>
      <c r="AB30" s="39">
        <f t="shared" si="3"/>
        <v>49.99999996391125</v>
      </c>
      <c r="AC30" s="39">
        <f t="shared" si="4"/>
        <v>69.999999976716936</v>
      </c>
      <c r="AD30" s="41">
        <v>0</v>
      </c>
      <c r="AE30" s="22">
        <v>1</v>
      </c>
      <c r="AF30" s="22">
        <v>3</v>
      </c>
      <c r="AG30" s="14">
        <v>1</v>
      </c>
      <c r="AH30" s="14">
        <v>1</v>
      </c>
      <c r="AI30" s="23">
        <v>0</v>
      </c>
      <c r="AJ30" s="23">
        <v>0</v>
      </c>
      <c r="AK30" s="23">
        <v>0</v>
      </c>
      <c r="AL30" s="23">
        <v>1</v>
      </c>
      <c r="AM30" s="10">
        <v>6</v>
      </c>
      <c r="AN30" s="10">
        <v>0</v>
      </c>
      <c r="AO30" s="94"/>
      <c r="AP30" s="94">
        <v>0</v>
      </c>
      <c r="AQ30" s="94">
        <v>0</v>
      </c>
      <c r="AR30" s="94">
        <v>0</v>
      </c>
      <c r="AS30" s="94">
        <v>0</v>
      </c>
      <c r="AT30" s="94">
        <v>0</v>
      </c>
      <c r="AU30" s="94">
        <v>0</v>
      </c>
      <c r="AV30" s="94">
        <v>0</v>
      </c>
      <c r="AW30" s="94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21">
        <v>1</v>
      </c>
      <c r="BD30" s="10">
        <v>1</v>
      </c>
      <c r="BE30" s="10">
        <v>0</v>
      </c>
      <c r="BF30" s="10">
        <v>1</v>
      </c>
      <c r="BG30" s="10">
        <v>1</v>
      </c>
      <c r="BH30" s="10">
        <v>0</v>
      </c>
      <c r="BI30" s="10">
        <v>0</v>
      </c>
      <c r="BJ30" s="10">
        <v>123</v>
      </c>
      <c r="BK30" s="12"/>
      <c r="BM30" s="23">
        <v>1</v>
      </c>
      <c r="BN30" s="23">
        <v>0</v>
      </c>
      <c r="BO30" s="23">
        <v>0</v>
      </c>
      <c r="BP30" s="23">
        <v>0</v>
      </c>
      <c r="BQ30" s="23">
        <v>1</v>
      </c>
      <c r="BR30" s="23">
        <v>0</v>
      </c>
      <c r="BS30" s="23">
        <v>0</v>
      </c>
      <c r="BT30" s="23">
        <v>0</v>
      </c>
      <c r="BU30" s="38">
        <v>43614.493055555598</v>
      </c>
      <c r="BV30" s="38">
        <v>43614.607638888898</v>
      </c>
      <c r="BW30" s="38">
        <v>43614.583333333299</v>
      </c>
      <c r="BX30" s="38">
        <v>43614.638888888898</v>
      </c>
      <c r="BY30" s="38">
        <v>43614.607638888898</v>
      </c>
      <c r="BZ30" s="103"/>
      <c r="CA30" s="103"/>
      <c r="CB30" s="23">
        <v>1</v>
      </c>
      <c r="CC30" s="23">
        <v>0</v>
      </c>
      <c r="CD30" s="23">
        <v>1</v>
      </c>
      <c r="CE30" s="23">
        <v>0</v>
      </c>
      <c r="CF30" s="23">
        <v>0</v>
      </c>
      <c r="CG30" s="23"/>
      <c r="CH30" s="103"/>
      <c r="CI30" s="23">
        <v>1</v>
      </c>
      <c r="CJ30" s="23">
        <v>0</v>
      </c>
      <c r="CK30" s="23">
        <v>0</v>
      </c>
      <c r="CL30" s="23">
        <v>1</v>
      </c>
      <c r="CM30" s="23">
        <v>0</v>
      </c>
      <c r="CN30" s="23">
        <v>0</v>
      </c>
      <c r="CO30" s="23">
        <v>0</v>
      </c>
      <c r="CP30" s="23">
        <v>0</v>
      </c>
      <c r="CQ30" s="23">
        <v>0</v>
      </c>
      <c r="CR30" s="23">
        <v>0</v>
      </c>
      <c r="CS30" s="23">
        <v>0</v>
      </c>
      <c r="CT30" s="23">
        <v>0</v>
      </c>
      <c r="CU30" s="23">
        <v>0</v>
      </c>
      <c r="CV30" s="23">
        <v>0</v>
      </c>
      <c r="CW30" s="23">
        <v>0</v>
      </c>
      <c r="CX30" s="25">
        <v>0</v>
      </c>
      <c r="CY30" s="25">
        <v>5</v>
      </c>
      <c r="CZ30" s="25">
        <v>0</v>
      </c>
      <c r="DA30" s="25">
        <v>5</v>
      </c>
      <c r="DB30" s="25">
        <v>0</v>
      </c>
      <c r="DC30" s="105">
        <v>0</v>
      </c>
      <c r="DD30" s="25">
        <v>0</v>
      </c>
      <c r="DE30" s="105">
        <v>0</v>
      </c>
      <c r="DF30" s="25">
        <v>0</v>
      </c>
      <c r="DG30" s="105">
        <v>0</v>
      </c>
      <c r="DH30" s="26">
        <v>0</v>
      </c>
      <c r="DI30" s="26">
        <v>3</v>
      </c>
      <c r="DJ30" s="10">
        <v>0</v>
      </c>
      <c r="DK30" s="24">
        <v>0</v>
      </c>
      <c r="DL30" s="32">
        <v>1</v>
      </c>
      <c r="DM30" s="32">
        <v>0</v>
      </c>
      <c r="DN30" s="32">
        <v>1</v>
      </c>
      <c r="DO30" s="32">
        <v>0</v>
      </c>
      <c r="DP30" s="32">
        <v>0</v>
      </c>
      <c r="DQ30" s="32">
        <v>0</v>
      </c>
      <c r="DR30" s="32">
        <v>1</v>
      </c>
      <c r="DS30" s="32">
        <v>0</v>
      </c>
      <c r="DT30" s="33">
        <v>1</v>
      </c>
      <c r="DU30" s="33">
        <v>0</v>
      </c>
      <c r="DV30" s="33">
        <v>1</v>
      </c>
      <c r="DW30" s="33">
        <v>1</v>
      </c>
      <c r="DX30" s="33"/>
      <c r="DY30" s="10">
        <v>1.44</v>
      </c>
      <c r="DZ30" s="10">
        <v>0.98</v>
      </c>
      <c r="EB30" s="10">
        <v>845</v>
      </c>
      <c r="ED30" s="10">
        <v>144</v>
      </c>
      <c r="EE30" s="10">
        <v>8.52</v>
      </c>
      <c r="EF30" s="10">
        <v>93</v>
      </c>
      <c r="EG30" s="10">
        <v>678</v>
      </c>
      <c r="EH30" s="10">
        <v>151</v>
      </c>
      <c r="EI30" s="10">
        <v>178</v>
      </c>
      <c r="EJ30" s="10">
        <v>19</v>
      </c>
      <c r="EK30" s="10">
        <v>0.1</v>
      </c>
      <c r="EL30" s="10" t="s">
        <v>879</v>
      </c>
      <c r="EO30" s="94"/>
      <c r="ET30" s="10">
        <v>0</v>
      </c>
      <c r="EU30" s="10">
        <v>1</v>
      </c>
      <c r="EV30" s="10">
        <v>7.5</v>
      </c>
      <c r="EW30" s="94"/>
      <c r="EY30" s="10">
        <v>15</v>
      </c>
      <c r="EZ30" s="13"/>
      <c r="FI30" s="10">
        <v>1</v>
      </c>
      <c r="FJ30" s="10">
        <v>1</v>
      </c>
      <c r="FK30" s="10">
        <v>0</v>
      </c>
      <c r="FL30" s="10">
        <v>3</v>
      </c>
      <c r="FM30" s="10">
        <v>0</v>
      </c>
      <c r="FN30" s="10">
        <v>0</v>
      </c>
      <c r="FO30" s="10">
        <v>0</v>
      </c>
      <c r="FP30" s="10">
        <v>0</v>
      </c>
      <c r="FQ30" s="10">
        <v>6</v>
      </c>
      <c r="FR30" s="10">
        <v>2</v>
      </c>
      <c r="FS30" s="10">
        <v>0</v>
      </c>
      <c r="FU30" s="10">
        <v>0</v>
      </c>
      <c r="FV30" s="10">
        <v>1</v>
      </c>
      <c r="FW30" s="10">
        <v>0</v>
      </c>
      <c r="FX30" s="10">
        <v>0</v>
      </c>
      <c r="FY30" s="10">
        <v>1</v>
      </c>
      <c r="FZ30" s="10">
        <v>4</v>
      </c>
      <c r="GA30" s="10">
        <v>45</v>
      </c>
      <c r="GC30" s="52" t="s">
        <v>243</v>
      </c>
      <c r="GD30" s="10" t="s">
        <v>476</v>
      </c>
    </row>
    <row r="31" spans="1:187" s="10" customFormat="1" ht="15" x14ac:dyDescent="0.2">
      <c r="A31" s="22">
        <v>13465512</v>
      </c>
      <c r="B31" s="22">
        <v>0</v>
      </c>
      <c r="C31" s="29">
        <v>43612</v>
      </c>
      <c r="D31" s="10">
        <v>19</v>
      </c>
      <c r="E31" s="10">
        <v>14</v>
      </c>
      <c r="F31" s="10">
        <v>22</v>
      </c>
      <c r="G31" s="10">
        <f t="shared" si="0"/>
        <v>3</v>
      </c>
      <c r="H31" s="23">
        <v>0</v>
      </c>
      <c r="I31" s="23">
        <v>0</v>
      </c>
      <c r="J31" s="23">
        <v>41</v>
      </c>
      <c r="K31" s="23">
        <v>0</v>
      </c>
      <c r="L31" s="23">
        <v>0</v>
      </c>
      <c r="M31" s="23">
        <v>1</v>
      </c>
      <c r="N31" s="23"/>
      <c r="O31" s="23">
        <v>5</v>
      </c>
      <c r="P31" s="23">
        <v>1</v>
      </c>
      <c r="Q31" s="23">
        <v>75</v>
      </c>
      <c r="R31" s="23">
        <v>190</v>
      </c>
      <c r="S31" s="34">
        <f t="shared" si="1"/>
        <v>20.775623268698062</v>
      </c>
      <c r="T31" s="10">
        <v>0</v>
      </c>
      <c r="U31" s="23">
        <v>0</v>
      </c>
      <c r="V31" s="23">
        <v>2</v>
      </c>
      <c r="W31" s="38">
        <v>43612.006944444402</v>
      </c>
      <c r="X31" s="38">
        <v>43612.006944444402</v>
      </c>
      <c r="Y31" s="38">
        <v>43612.031944444403</v>
      </c>
      <c r="Z31" s="38">
        <v>43612.0402777778</v>
      </c>
      <c r="AA31" s="39">
        <f t="shared" si="2"/>
        <v>0</v>
      </c>
      <c r="AB31" s="39">
        <f t="shared" si="3"/>
        <v>36.000000002095476</v>
      </c>
      <c r="AC31" s="39">
        <f t="shared" si="4"/>
        <v>36.000000002095476</v>
      </c>
      <c r="AD31" s="41">
        <v>1</v>
      </c>
      <c r="AE31" s="22">
        <v>2</v>
      </c>
      <c r="AF31" s="22"/>
      <c r="AG31" s="14">
        <v>8</v>
      </c>
      <c r="AH31" s="14">
        <v>1</v>
      </c>
      <c r="AI31" s="23">
        <v>0</v>
      </c>
      <c r="AJ31" s="23">
        <v>0</v>
      </c>
      <c r="AK31" s="23">
        <v>0</v>
      </c>
      <c r="AL31" s="23">
        <v>0</v>
      </c>
      <c r="AM31" s="10">
        <v>3</v>
      </c>
      <c r="AN31" s="10">
        <v>0</v>
      </c>
      <c r="AO31" s="10">
        <v>1250</v>
      </c>
      <c r="AP31" s="10">
        <v>0</v>
      </c>
      <c r="AQ31" s="10">
        <v>0</v>
      </c>
      <c r="AR31" s="10">
        <v>0</v>
      </c>
      <c r="AS31" s="10">
        <v>1</v>
      </c>
      <c r="AT31" s="10">
        <v>0</v>
      </c>
      <c r="AU31" s="10">
        <v>0</v>
      </c>
      <c r="AV31" s="10">
        <v>0</v>
      </c>
      <c r="AW31" s="10">
        <v>1</v>
      </c>
      <c r="AX31" s="10">
        <v>18</v>
      </c>
      <c r="AY31" s="10">
        <v>0</v>
      </c>
      <c r="AZ31" s="10">
        <v>0</v>
      </c>
      <c r="BA31" s="10">
        <v>0</v>
      </c>
      <c r="BB31" s="10">
        <v>2</v>
      </c>
      <c r="BC31" s="21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142</v>
      </c>
      <c r="BK31" s="12">
        <v>980</v>
      </c>
      <c r="BL31" s="10">
        <v>1115</v>
      </c>
      <c r="BM31" s="23">
        <v>1</v>
      </c>
      <c r="BN31" s="23">
        <v>0</v>
      </c>
      <c r="BO31" s="23">
        <v>0</v>
      </c>
      <c r="BP31" s="23">
        <v>1</v>
      </c>
      <c r="BQ31" s="23">
        <v>0</v>
      </c>
      <c r="BR31" s="23">
        <v>0</v>
      </c>
      <c r="BS31" s="23">
        <v>0</v>
      </c>
      <c r="BT31" s="23">
        <v>0</v>
      </c>
      <c r="BU31" s="38">
        <v>43612.063888888901</v>
      </c>
      <c r="BV31" s="38">
        <v>43612.063888888901</v>
      </c>
      <c r="BW31" s="38">
        <v>43612.125</v>
      </c>
      <c r="BX31" s="38">
        <v>43612.163194444402</v>
      </c>
      <c r="BY31" s="38">
        <v>43612.163194444402</v>
      </c>
      <c r="BZ31" s="33">
        <v>0</v>
      </c>
      <c r="CA31" s="33">
        <v>0</v>
      </c>
      <c r="CB31" s="23">
        <v>1</v>
      </c>
      <c r="CC31" s="23">
        <v>0</v>
      </c>
      <c r="CD31" s="23">
        <v>1</v>
      </c>
      <c r="CE31" s="23">
        <v>0</v>
      </c>
      <c r="CF31" s="23">
        <v>0</v>
      </c>
      <c r="CG31" s="23"/>
      <c r="CH31" s="104">
        <v>0</v>
      </c>
      <c r="CI31" s="23">
        <v>1</v>
      </c>
      <c r="CJ31" s="23">
        <v>1</v>
      </c>
      <c r="CK31" s="23">
        <v>1</v>
      </c>
      <c r="CL31" s="23">
        <v>1</v>
      </c>
      <c r="CM31" s="23">
        <v>1</v>
      </c>
      <c r="CN31" s="23">
        <v>1</v>
      </c>
      <c r="CO31" s="23">
        <v>0</v>
      </c>
      <c r="CP31" s="23">
        <v>0</v>
      </c>
      <c r="CQ31" s="23">
        <v>0</v>
      </c>
      <c r="CR31" s="23">
        <v>0</v>
      </c>
      <c r="CS31" s="23">
        <v>0</v>
      </c>
      <c r="CT31" s="23">
        <v>0</v>
      </c>
      <c r="CU31" s="23">
        <v>0</v>
      </c>
      <c r="CV31" s="23">
        <v>0</v>
      </c>
      <c r="CW31" s="23">
        <v>0</v>
      </c>
      <c r="CX31" s="24">
        <v>0</v>
      </c>
      <c r="CY31" s="32">
        <v>0</v>
      </c>
      <c r="CZ31" s="32">
        <v>0</v>
      </c>
      <c r="DA31" s="32">
        <v>0</v>
      </c>
      <c r="DB31" s="32">
        <v>0</v>
      </c>
      <c r="DC31" s="32">
        <v>0</v>
      </c>
      <c r="DD31" s="32">
        <v>1</v>
      </c>
      <c r="DE31" s="32"/>
      <c r="DF31" s="32">
        <v>1</v>
      </c>
      <c r="DG31" s="32"/>
      <c r="DH31" s="33">
        <v>2</v>
      </c>
      <c r="DI31" s="33">
        <v>0</v>
      </c>
      <c r="DJ31" s="10">
        <v>0</v>
      </c>
      <c r="DK31" s="25">
        <v>0</v>
      </c>
      <c r="DL31" s="25">
        <v>0</v>
      </c>
      <c r="DM31" s="25">
        <v>0</v>
      </c>
      <c r="DN31" s="25">
        <v>0</v>
      </c>
      <c r="DO31" s="25">
        <v>0</v>
      </c>
      <c r="DP31" s="25">
        <v>0</v>
      </c>
      <c r="DQ31" s="25">
        <v>0</v>
      </c>
      <c r="DR31" s="25">
        <v>0</v>
      </c>
      <c r="DS31" s="25">
        <v>0</v>
      </c>
      <c r="DT31" s="26">
        <v>0</v>
      </c>
      <c r="DU31" s="26">
        <v>0</v>
      </c>
      <c r="DV31" s="26">
        <v>1</v>
      </c>
      <c r="DW31" s="26">
        <v>0</v>
      </c>
      <c r="DX31" s="26"/>
      <c r="DY31" s="10">
        <v>1.76</v>
      </c>
      <c r="DZ31" s="10">
        <v>0.94</v>
      </c>
      <c r="EA31" s="10">
        <v>201</v>
      </c>
      <c r="EB31" s="10">
        <v>461</v>
      </c>
      <c r="ED31" s="10">
        <v>138</v>
      </c>
      <c r="EE31" s="10">
        <v>3.4</v>
      </c>
      <c r="EF31" s="10">
        <v>105</v>
      </c>
      <c r="EG31" s="10">
        <v>1094</v>
      </c>
      <c r="EH31" s="10">
        <v>307</v>
      </c>
      <c r="EI31" s="10">
        <v>254</v>
      </c>
      <c r="EJ31" s="10">
        <v>122</v>
      </c>
      <c r="EK31" s="10">
        <v>0.6</v>
      </c>
      <c r="EL31" s="10" t="s">
        <v>876</v>
      </c>
      <c r="EM31" s="10">
        <v>7.9</v>
      </c>
      <c r="EN31" s="10">
        <v>3</v>
      </c>
      <c r="EO31" s="94">
        <v>1</v>
      </c>
      <c r="EP31" s="10">
        <v>47</v>
      </c>
      <c r="EQ31" s="10">
        <v>33</v>
      </c>
      <c r="ES31" s="10">
        <v>7.5</v>
      </c>
      <c r="ET31" s="10">
        <v>1</v>
      </c>
      <c r="EU31" s="10">
        <v>0</v>
      </c>
      <c r="EV31" s="10">
        <v>7</v>
      </c>
      <c r="EW31" s="10">
        <v>1</v>
      </c>
      <c r="EX31" s="10">
        <v>700</v>
      </c>
      <c r="EY31" s="10">
        <v>15</v>
      </c>
      <c r="EZ31" s="13" t="s">
        <v>865</v>
      </c>
      <c r="FA31" s="10">
        <v>1</v>
      </c>
      <c r="FD31" s="10">
        <v>7.4</v>
      </c>
      <c r="FE31" s="10">
        <v>7.77</v>
      </c>
      <c r="FF31" s="10" t="s">
        <v>571</v>
      </c>
      <c r="FI31" s="10">
        <v>1</v>
      </c>
      <c r="FJ31" s="10">
        <v>1</v>
      </c>
      <c r="FK31" s="10">
        <v>1</v>
      </c>
      <c r="FL31" s="10">
        <v>3</v>
      </c>
      <c r="FM31" s="10">
        <v>0</v>
      </c>
      <c r="FN31" s="10">
        <v>1</v>
      </c>
      <c r="FO31" s="10">
        <v>0</v>
      </c>
      <c r="FP31" s="10">
        <v>0</v>
      </c>
      <c r="FQ31" s="10">
        <v>2</v>
      </c>
      <c r="FR31" s="10">
        <v>1</v>
      </c>
      <c r="FS31" s="10">
        <v>0</v>
      </c>
      <c r="FU31" s="10">
        <v>2</v>
      </c>
      <c r="FV31" s="10">
        <v>1</v>
      </c>
      <c r="FW31" s="10">
        <v>0</v>
      </c>
      <c r="FX31" s="10">
        <v>0</v>
      </c>
      <c r="FY31" s="10">
        <v>0</v>
      </c>
      <c r="FZ31" s="10">
        <v>4</v>
      </c>
      <c r="GA31" s="10">
        <v>38</v>
      </c>
      <c r="GC31" s="52"/>
      <c r="GD31" s="10" t="s">
        <v>475</v>
      </c>
    </row>
    <row r="32" spans="1:187" s="10" customFormat="1" ht="15" x14ac:dyDescent="0.2">
      <c r="A32" s="22">
        <v>13464683</v>
      </c>
      <c r="B32" s="22">
        <v>0</v>
      </c>
      <c r="C32" s="29">
        <v>43608</v>
      </c>
      <c r="D32" s="10">
        <v>12</v>
      </c>
      <c r="E32" s="10">
        <v>18</v>
      </c>
      <c r="F32" s="10">
        <v>26</v>
      </c>
      <c r="G32" s="10">
        <f t="shared" si="0"/>
        <v>14</v>
      </c>
      <c r="H32" s="23">
        <v>0</v>
      </c>
      <c r="I32" s="23">
        <v>0</v>
      </c>
      <c r="J32" s="23">
        <v>20</v>
      </c>
      <c r="K32" s="23">
        <v>0</v>
      </c>
      <c r="L32" s="23">
        <v>1</v>
      </c>
      <c r="M32" s="23">
        <v>0</v>
      </c>
      <c r="N32" s="23">
        <v>0</v>
      </c>
      <c r="O32" s="23">
        <v>1</v>
      </c>
      <c r="P32" s="23">
        <v>0</v>
      </c>
      <c r="Q32" s="23">
        <v>78</v>
      </c>
      <c r="R32" s="23">
        <v>170</v>
      </c>
      <c r="S32" s="34">
        <f t="shared" si="1"/>
        <v>26.989619377162633</v>
      </c>
      <c r="T32" s="10">
        <v>0</v>
      </c>
      <c r="U32" s="23">
        <v>0</v>
      </c>
      <c r="V32" s="23">
        <v>0</v>
      </c>
      <c r="W32" s="38">
        <v>43608.663194444402</v>
      </c>
      <c r="X32" s="38">
        <v>43608.672222222202</v>
      </c>
      <c r="Y32" s="38">
        <v>43608.71875</v>
      </c>
      <c r="Z32" s="38">
        <v>43608.732638888898</v>
      </c>
      <c r="AA32" s="39">
        <f t="shared" si="2"/>
        <v>13.000000031897798</v>
      </c>
      <c r="AB32" s="39">
        <f t="shared" si="3"/>
        <v>67.000000029802322</v>
      </c>
      <c r="AC32" s="39">
        <f t="shared" si="4"/>
        <v>80.000000061700121</v>
      </c>
      <c r="AD32" s="41">
        <v>0</v>
      </c>
      <c r="AE32" s="22">
        <v>1</v>
      </c>
      <c r="AF32" s="22">
        <v>5</v>
      </c>
      <c r="AG32" s="14">
        <v>2</v>
      </c>
      <c r="AH32" s="14">
        <v>2</v>
      </c>
      <c r="AI32" s="23">
        <v>0</v>
      </c>
      <c r="AJ32" s="23">
        <v>0</v>
      </c>
      <c r="AK32" s="23">
        <v>0</v>
      </c>
      <c r="AL32" s="23">
        <v>0</v>
      </c>
      <c r="AM32" s="10">
        <v>7</v>
      </c>
      <c r="AN32" s="10">
        <v>0</v>
      </c>
      <c r="AO32" s="10">
        <v>1000</v>
      </c>
      <c r="AP32" s="10">
        <v>0</v>
      </c>
      <c r="AQ32" s="10">
        <v>0</v>
      </c>
      <c r="AR32" s="10">
        <v>0</v>
      </c>
      <c r="AS32" s="10">
        <v>1</v>
      </c>
      <c r="AT32" s="10">
        <v>0</v>
      </c>
      <c r="AU32" s="10">
        <v>0</v>
      </c>
      <c r="AV32" s="10">
        <v>0</v>
      </c>
      <c r="AW32" s="10">
        <v>1</v>
      </c>
      <c r="AX32" s="10">
        <v>0</v>
      </c>
      <c r="AY32" s="10">
        <v>0</v>
      </c>
      <c r="AZ32" s="10">
        <v>0</v>
      </c>
      <c r="BA32" s="10">
        <v>1</v>
      </c>
      <c r="BB32" s="10">
        <v>1</v>
      </c>
      <c r="BC32" s="21">
        <v>0</v>
      </c>
      <c r="BD32" s="10">
        <v>0</v>
      </c>
      <c r="BE32" s="10">
        <v>0</v>
      </c>
      <c r="BF32" s="10">
        <v>1</v>
      </c>
      <c r="BG32" s="10">
        <v>0</v>
      </c>
      <c r="BH32" s="10">
        <v>0</v>
      </c>
      <c r="BI32" s="10">
        <v>0</v>
      </c>
      <c r="BJ32" s="10">
        <v>119</v>
      </c>
      <c r="BK32" s="12">
        <v>1368</v>
      </c>
      <c r="BL32" s="10">
        <v>1064</v>
      </c>
      <c r="BM32" s="23">
        <v>1</v>
      </c>
      <c r="BN32" s="23">
        <v>0</v>
      </c>
      <c r="BO32" s="23">
        <v>0</v>
      </c>
      <c r="BP32" s="23">
        <v>1</v>
      </c>
      <c r="BQ32" s="23">
        <v>0</v>
      </c>
      <c r="BR32" s="23">
        <v>1</v>
      </c>
      <c r="BS32" s="23">
        <v>1</v>
      </c>
      <c r="BT32" s="23">
        <v>1</v>
      </c>
      <c r="BU32" s="38">
        <v>43608.745833333298</v>
      </c>
      <c r="BV32" s="38">
        <v>43608.783333333333</v>
      </c>
      <c r="BW32" s="38">
        <v>43608.854166666701</v>
      </c>
      <c r="BX32" s="38">
        <v>43608.917361111096</v>
      </c>
      <c r="BY32" s="38">
        <v>43608.917361111096</v>
      </c>
      <c r="BZ32" s="26">
        <v>0</v>
      </c>
      <c r="CA32" s="26">
        <v>0</v>
      </c>
      <c r="CB32" s="23">
        <v>1</v>
      </c>
      <c r="CC32" s="23">
        <v>0</v>
      </c>
      <c r="CD32" s="23">
        <v>1</v>
      </c>
      <c r="CE32" s="23">
        <v>0</v>
      </c>
      <c r="CF32" s="23">
        <v>1</v>
      </c>
      <c r="CG32" s="23">
        <v>0</v>
      </c>
      <c r="CH32" s="103">
        <v>1</v>
      </c>
      <c r="CI32" s="23">
        <v>1</v>
      </c>
      <c r="CJ32" s="23">
        <v>1</v>
      </c>
      <c r="CK32" s="23">
        <v>1</v>
      </c>
      <c r="CL32" s="23">
        <v>1</v>
      </c>
      <c r="CM32" s="23">
        <v>1</v>
      </c>
      <c r="CN32" s="23">
        <v>1</v>
      </c>
      <c r="CO32" s="23">
        <v>1</v>
      </c>
      <c r="CP32" s="23">
        <v>1</v>
      </c>
      <c r="CQ32" s="23">
        <v>1</v>
      </c>
      <c r="CR32" s="23">
        <v>1</v>
      </c>
      <c r="CS32" s="23">
        <v>1</v>
      </c>
      <c r="CT32" s="23">
        <v>1</v>
      </c>
      <c r="CU32" s="23">
        <v>0</v>
      </c>
      <c r="CV32" s="23">
        <v>0</v>
      </c>
      <c r="CW32" s="23">
        <v>0</v>
      </c>
      <c r="CX32" s="25">
        <v>1</v>
      </c>
      <c r="CY32" s="25"/>
      <c r="CZ32" s="25">
        <v>1</v>
      </c>
      <c r="DA32" s="25"/>
      <c r="DB32" s="25">
        <v>0</v>
      </c>
      <c r="DC32" s="105">
        <v>2</v>
      </c>
      <c r="DD32" s="25">
        <v>1</v>
      </c>
      <c r="DE32" s="25"/>
      <c r="DF32" s="25">
        <v>1</v>
      </c>
      <c r="DG32" s="25"/>
      <c r="DH32" s="26">
        <v>2</v>
      </c>
      <c r="DI32" s="26">
        <v>2</v>
      </c>
      <c r="DJ32" s="10">
        <v>0</v>
      </c>
      <c r="DK32" s="24">
        <v>0</v>
      </c>
      <c r="DL32" s="32">
        <v>0</v>
      </c>
      <c r="DM32" s="32">
        <v>0</v>
      </c>
      <c r="DN32" s="32">
        <v>0</v>
      </c>
      <c r="DO32" s="32">
        <v>0</v>
      </c>
      <c r="DP32" s="32">
        <v>0</v>
      </c>
      <c r="DQ32" s="32">
        <v>0</v>
      </c>
      <c r="DR32" s="32">
        <v>0</v>
      </c>
      <c r="DS32" s="32">
        <v>0</v>
      </c>
      <c r="DT32" s="33">
        <v>1</v>
      </c>
      <c r="DU32" s="33">
        <v>0</v>
      </c>
      <c r="DV32" s="33">
        <v>0</v>
      </c>
      <c r="DW32" s="33">
        <v>0</v>
      </c>
      <c r="DX32" s="33"/>
      <c r="DY32" s="10">
        <v>1.61</v>
      </c>
      <c r="DZ32" s="10">
        <v>0.8</v>
      </c>
      <c r="EB32" s="10">
        <v>329</v>
      </c>
      <c r="ED32" s="10">
        <v>136</v>
      </c>
      <c r="EE32" s="10">
        <v>6.4</v>
      </c>
      <c r="EF32" s="10">
        <v>104</v>
      </c>
      <c r="EG32" s="10">
        <v>1988</v>
      </c>
      <c r="EH32" s="10">
        <v>471</v>
      </c>
      <c r="EI32" s="10">
        <v>425</v>
      </c>
      <c r="EJ32" s="10">
        <v>26</v>
      </c>
      <c r="EK32" s="10">
        <v>0.2</v>
      </c>
      <c r="EL32" s="10">
        <v>8.3000000000000007</v>
      </c>
      <c r="EM32" s="10">
        <v>14.7</v>
      </c>
      <c r="EO32" s="94">
        <v>0</v>
      </c>
      <c r="EP32" s="10">
        <v>45</v>
      </c>
      <c r="EQ32" s="10">
        <v>80</v>
      </c>
      <c r="ES32" s="10">
        <v>12.8</v>
      </c>
      <c r="ET32" s="10">
        <v>0</v>
      </c>
      <c r="EU32" s="94"/>
      <c r="EV32" s="94"/>
      <c r="EW32" s="94"/>
      <c r="EY32" s="10">
        <v>13</v>
      </c>
      <c r="EZ32" s="13"/>
      <c r="FD32" s="10">
        <v>6.86</v>
      </c>
      <c r="FE32" s="10">
        <v>7.49</v>
      </c>
      <c r="FF32" s="10" t="s">
        <v>570</v>
      </c>
      <c r="FI32" s="10">
        <v>1</v>
      </c>
      <c r="FJ32" s="10">
        <v>1</v>
      </c>
      <c r="FK32" s="10">
        <v>1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3</v>
      </c>
      <c r="FR32" s="10">
        <v>2</v>
      </c>
      <c r="FS32" s="10">
        <v>0</v>
      </c>
      <c r="FT32" s="10">
        <v>45</v>
      </c>
      <c r="FU32" s="10">
        <v>2</v>
      </c>
      <c r="FV32" s="10">
        <v>0</v>
      </c>
      <c r="FW32" s="94">
        <v>0</v>
      </c>
      <c r="FX32" s="10">
        <v>0</v>
      </c>
      <c r="FY32" s="10">
        <v>1</v>
      </c>
      <c r="FZ32" s="10">
        <v>2</v>
      </c>
      <c r="GA32" s="10">
        <v>60</v>
      </c>
      <c r="GC32" s="52"/>
      <c r="GD32" s="10" t="s">
        <v>561</v>
      </c>
      <c r="GE32" s="10" t="s">
        <v>569</v>
      </c>
    </row>
    <row r="33" spans="1:186" s="10" customFormat="1" ht="15" x14ac:dyDescent="0.2">
      <c r="A33" s="22">
        <v>13462933</v>
      </c>
      <c r="B33" s="22">
        <v>0</v>
      </c>
      <c r="C33" s="29">
        <v>43601</v>
      </c>
      <c r="D33" s="10">
        <v>13</v>
      </c>
      <c r="E33" s="10">
        <v>47</v>
      </c>
      <c r="F33" s="10">
        <v>10</v>
      </c>
      <c r="G33" s="10">
        <f t="shared" si="0"/>
        <v>-3</v>
      </c>
      <c r="H33" s="23">
        <v>1</v>
      </c>
      <c r="I33" s="23">
        <v>0</v>
      </c>
      <c r="J33" s="23">
        <v>55</v>
      </c>
      <c r="K33" s="23">
        <v>0</v>
      </c>
      <c r="L33" s="23">
        <v>0</v>
      </c>
      <c r="M33" s="23">
        <v>1</v>
      </c>
      <c r="N33" s="23"/>
      <c r="O33" s="23">
        <v>2</v>
      </c>
      <c r="P33" s="96"/>
      <c r="Q33" s="23">
        <v>85</v>
      </c>
      <c r="R33" s="23">
        <v>175</v>
      </c>
      <c r="S33" s="34">
        <f t="shared" si="1"/>
        <v>27.755102040816325</v>
      </c>
      <c r="T33" s="10">
        <v>0</v>
      </c>
      <c r="U33" s="23">
        <v>0</v>
      </c>
      <c r="V33" s="23">
        <v>2</v>
      </c>
      <c r="W33" s="38">
        <v>43601.291666666701</v>
      </c>
      <c r="X33" s="38">
        <v>43601.302083333299</v>
      </c>
      <c r="Y33" s="38">
        <v>43601.3125</v>
      </c>
      <c r="Z33" s="38">
        <v>43601.315972222197</v>
      </c>
      <c r="AA33" s="39">
        <f t="shared" si="2"/>
        <v>14.99999990221113</v>
      </c>
      <c r="AB33" s="39">
        <f t="shared" si="3"/>
        <v>15.000000048894435</v>
      </c>
      <c r="AC33" s="39">
        <f t="shared" si="4"/>
        <v>29.999999951105565</v>
      </c>
      <c r="AD33" s="41">
        <v>1</v>
      </c>
      <c r="AE33" s="22">
        <v>2</v>
      </c>
      <c r="AF33" s="22"/>
      <c r="AH33" s="11">
        <v>1</v>
      </c>
      <c r="AI33" s="23">
        <v>0</v>
      </c>
      <c r="AJ33" s="23">
        <v>0</v>
      </c>
      <c r="AK33" s="23">
        <v>0</v>
      </c>
      <c r="AL33" s="23">
        <v>1</v>
      </c>
      <c r="AM33" s="10">
        <v>8</v>
      </c>
      <c r="AN33" s="10">
        <v>0</v>
      </c>
      <c r="AO33" s="94"/>
      <c r="AP33" s="10">
        <v>0</v>
      </c>
      <c r="AQ33" s="10">
        <v>0</v>
      </c>
      <c r="AR33" s="10">
        <v>0</v>
      </c>
      <c r="AS33" s="10">
        <v>1</v>
      </c>
      <c r="AT33" s="10">
        <v>0</v>
      </c>
      <c r="AU33" s="10">
        <v>0</v>
      </c>
      <c r="AV33" s="10">
        <v>0</v>
      </c>
      <c r="AW33" s="10">
        <v>1</v>
      </c>
      <c r="AX33" s="10">
        <v>0</v>
      </c>
      <c r="AY33" s="10">
        <v>0</v>
      </c>
      <c r="AZ33" s="10">
        <v>0</v>
      </c>
      <c r="BA33" s="10">
        <v>0</v>
      </c>
      <c r="BB33" s="10">
        <v>1</v>
      </c>
      <c r="BC33" s="21">
        <v>0</v>
      </c>
      <c r="BD33" s="10">
        <v>1</v>
      </c>
      <c r="BE33" s="10">
        <v>0</v>
      </c>
      <c r="BF33" s="10">
        <v>1</v>
      </c>
      <c r="BG33" s="10">
        <v>0</v>
      </c>
      <c r="BH33" s="10">
        <v>1</v>
      </c>
      <c r="BI33" s="10">
        <v>0</v>
      </c>
      <c r="BJ33" s="10">
        <v>120</v>
      </c>
      <c r="BK33" s="12"/>
      <c r="BM33" s="23">
        <v>1</v>
      </c>
      <c r="BN33" s="23">
        <v>1</v>
      </c>
      <c r="BO33" s="23">
        <v>0</v>
      </c>
      <c r="BP33" s="23">
        <v>0</v>
      </c>
      <c r="BQ33" s="23">
        <v>1</v>
      </c>
      <c r="BR33" s="23">
        <v>0</v>
      </c>
      <c r="BS33" s="23">
        <v>0</v>
      </c>
      <c r="BT33" s="23">
        <v>0</v>
      </c>
      <c r="BU33" s="38">
        <v>43601.413194444402</v>
      </c>
      <c r="BV33" s="38">
        <v>43601.545138888898</v>
      </c>
      <c r="BW33" s="38">
        <v>43601.510416666701</v>
      </c>
      <c r="BX33" s="38">
        <v>43601.583333333299</v>
      </c>
      <c r="BY33" s="38">
        <v>43601.545138888898</v>
      </c>
      <c r="BZ33" s="103"/>
      <c r="CA33" s="103"/>
      <c r="CB33" s="23">
        <v>1</v>
      </c>
      <c r="CC33" s="23">
        <v>0</v>
      </c>
      <c r="CD33" s="23">
        <v>1</v>
      </c>
      <c r="CE33" s="23">
        <v>0</v>
      </c>
      <c r="CF33" s="23">
        <v>0</v>
      </c>
      <c r="CG33" s="23"/>
      <c r="CH33" s="103">
        <v>0</v>
      </c>
      <c r="CI33" s="23">
        <v>1</v>
      </c>
      <c r="CJ33" s="23">
        <v>0</v>
      </c>
      <c r="CK33" s="23">
        <v>0</v>
      </c>
      <c r="CL33" s="23">
        <v>1</v>
      </c>
      <c r="CM33" s="23">
        <v>0</v>
      </c>
      <c r="CN33" s="23">
        <v>0</v>
      </c>
      <c r="CO33" s="23">
        <v>0</v>
      </c>
      <c r="CP33" s="23">
        <v>0</v>
      </c>
      <c r="CQ33" s="23">
        <v>0</v>
      </c>
      <c r="CR33" s="23">
        <v>0</v>
      </c>
      <c r="CS33" s="23">
        <v>0</v>
      </c>
      <c r="CT33" s="23">
        <v>0</v>
      </c>
      <c r="CU33" s="23">
        <v>1</v>
      </c>
      <c r="CV33" s="23">
        <v>0</v>
      </c>
      <c r="CW33" s="23">
        <v>0</v>
      </c>
      <c r="CX33" s="25">
        <v>0</v>
      </c>
      <c r="CY33" s="25">
        <v>5</v>
      </c>
      <c r="CZ33" s="25">
        <v>0</v>
      </c>
      <c r="DA33" s="25">
        <v>5</v>
      </c>
      <c r="DB33" s="25">
        <v>0</v>
      </c>
      <c r="DC33" s="25">
        <v>2</v>
      </c>
      <c r="DD33" s="25">
        <v>0</v>
      </c>
      <c r="DE33" s="105">
        <v>0</v>
      </c>
      <c r="DF33" s="25">
        <v>0</v>
      </c>
      <c r="DG33" s="105">
        <v>0</v>
      </c>
      <c r="DH33" s="26">
        <v>0</v>
      </c>
      <c r="DI33" s="26">
        <v>2</v>
      </c>
      <c r="DJ33" s="10">
        <v>0</v>
      </c>
      <c r="DK33" s="25">
        <v>0</v>
      </c>
      <c r="DL33" s="25">
        <v>0</v>
      </c>
      <c r="DM33" s="25">
        <v>0</v>
      </c>
      <c r="DN33" s="25">
        <v>0</v>
      </c>
      <c r="DO33" s="25">
        <v>0</v>
      </c>
      <c r="DP33" s="25">
        <v>0</v>
      </c>
      <c r="DQ33" s="25">
        <v>0</v>
      </c>
      <c r="DR33" s="25">
        <v>1</v>
      </c>
      <c r="DS33" s="25">
        <v>0</v>
      </c>
      <c r="DT33" s="26">
        <v>1</v>
      </c>
      <c r="DU33" s="26">
        <v>0</v>
      </c>
      <c r="DV33" s="26">
        <v>0</v>
      </c>
      <c r="DW33" s="26">
        <v>1</v>
      </c>
      <c r="DX33" s="26"/>
      <c r="DY33" s="10">
        <v>1.74</v>
      </c>
      <c r="DZ33" s="10">
        <v>1.02</v>
      </c>
      <c r="EA33" s="10">
        <v>245</v>
      </c>
      <c r="EB33" s="10">
        <v>162</v>
      </c>
      <c r="ED33" s="10">
        <v>146</v>
      </c>
      <c r="EE33" s="10">
        <v>5.94</v>
      </c>
      <c r="EF33" s="10">
        <v>105</v>
      </c>
      <c r="EG33" s="10">
        <v>290</v>
      </c>
      <c r="EH33" s="10">
        <v>23</v>
      </c>
      <c r="EI33" s="10">
        <v>27</v>
      </c>
      <c r="EJ33" s="10">
        <v>20</v>
      </c>
      <c r="EK33" s="10">
        <v>0.3</v>
      </c>
      <c r="EL33" s="10" t="s">
        <v>877</v>
      </c>
      <c r="EO33" s="94">
        <v>0</v>
      </c>
      <c r="EP33" s="10">
        <v>103</v>
      </c>
      <c r="EQ33" s="10">
        <v>22</v>
      </c>
      <c r="ES33" s="10">
        <v>12.7</v>
      </c>
      <c r="ET33" s="10">
        <v>1</v>
      </c>
      <c r="EU33" s="94"/>
      <c r="EV33" s="94"/>
      <c r="EW33" s="10">
        <v>1</v>
      </c>
      <c r="EY33" s="10">
        <v>15</v>
      </c>
      <c r="EZ33" s="13" t="s">
        <v>865</v>
      </c>
      <c r="FI33" s="10">
        <v>1</v>
      </c>
      <c r="FJ33" s="10">
        <v>1</v>
      </c>
      <c r="FK33" s="10">
        <v>1</v>
      </c>
      <c r="FL33" s="10">
        <v>0</v>
      </c>
      <c r="FM33" s="10">
        <v>1</v>
      </c>
      <c r="FN33" s="10">
        <v>1</v>
      </c>
      <c r="FO33" s="10">
        <v>1</v>
      </c>
      <c r="FP33" s="10">
        <v>0</v>
      </c>
      <c r="FQ33" s="10">
        <v>3</v>
      </c>
      <c r="FR33" s="10">
        <v>2</v>
      </c>
      <c r="FS33" s="10">
        <v>0</v>
      </c>
      <c r="FU33" s="10">
        <v>1</v>
      </c>
      <c r="FV33" s="10">
        <v>4</v>
      </c>
      <c r="FW33" s="10">
        <v>0</v>
      </c>
      <c r="FX33" s="10">
        <v>0</v>
      </c>
      <c r="FY33" s="10">
        <v>1</v>
      </c>
      <c r="FZ33" s="10">
        <v>0</v>
      </c>
      <c r="GA33" s="10">
        <v>55</v>
      </c>
      <c r="GC33" s="52" t="s">
        <v>243</v>
      </c>
      <c r="GD33" s="10" t="s">
        <v>474</v>
      </c>
    </row>
    <row r="34" spans="1:186" s="10" customFormat="1" ht="15" x14ac:dyDescent="0.2">
      <c r="A34" s="22">
        <v>13456670</v>
      </c>
      <c r="B34" s="22">
        <v>0</v>
      </c>
      <c r="C34" s="29">
        <v>43583</v>
      </c>
      <c r="H34" s="23">
        <v>1</v>
      </c>
      <c r="I34" s="23">
        <v>0</v>
      </c>
      <c r="J34" s="23">
        <v>48</v>
      </c>
      <c r="K34" s="23">
        <v>3</v>
      </c>
      <c r="L34" s="23">
        <v>0</v>
      </c>
      <c r="M34" s="23">
        <v>1</v>
      </c>
      <c r="N34" s="23"/>
      <c r="O34" s="23">
        <v>1</v>
      </c>
      <c r="P34" s="23">
        <v>0</v>
      </c>
      <c r="Q34" s="23">
        <v>75</v>
      </c>
      <c r="R34" s="23">
        <v>170</v>
      </c>
      <c r="S34" s="34">
        <f t="shared" si="1"/>
        <v>25.95155709342561</v>
      </c>
      <c r="T34" s="10">
        <v>0</v>
      </c>
      <c r="U34" s="23">
        <v>0</v>
      </c>
      <c r="V34" s="23">
        <v>1</v>
      </c>
      <c r="W34" s="38">
        <v>43583.486111111102</v>
      </c>
      <c r="X34" s="38">
        <v>43583.486111111102</v>
      </c>
      <c r="Y34" s="38">
        <v>43583.482638888898</v>
      </c>
      <c r="Z34" s="38">
        <v>43583.520833333299</v>
      </c>
      <c r="AA34" s="39">
        <f t="shared" si="2"/>
        <v>0</v>
      </c>
      <c r="AB34" s="39">
        <v>0</v>
      </c>
      <c r="AC34" s="39">
        <v>0</v>
      </c>
      <c r="AD34" s="41">
        <v>1</v>
      </c>
      <c r="AE34" s="22">
        <v>2</v>
      </c>
      <c r="AF34" s="22"/>
      <c r="AG34" s="99">
        <v>1</v>
      </c>
      <c r="AH34" s="11">
        <v>9</v>
      </c>
      <c r="AI34" s="23">
        <v>0</v>
      </c>
      <c r="AJ34" s="23">
        <v>0</v>
      </c>
      <c r="AK34" s="23">
        <v>0</v>
      </c>
      <c r="AL34" s="23">
        <v>1</v>
      </c>
      <c r="AM34" s="10">
        <v>20</v>
      </c>
      <c r="AN34" s="10">
        <v>0</v>
      </c>
      <c r="AO34" s="94"/>
      <c r="AP34" s="10">
        <v>0</v>
      </c>
      <c r="AQ34" s="10">
        <v>1</v>
      </c>
      <c r="AR34" s="10">
        <v>0</v>
      </c>
      <c r="AS34" s="10">
        <v>0</v>
      </c>
      <c r="AT34" s="10">
        <v>1</v>
      </c>
      <c r="AU34" s="10">
        <v>0</v>
      </c>
      <c r="AV34" s="10">
        <v>0</v>
      </c>
      <c r="AW34" s="10">
        <v>1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21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1</v>
      </c>
      <c r="BI34" s="10">
        <v>0</v>
      </c>
      <c r="BJ34" s="10">
        <v>120</v>
      </c>
      <c r="BK34" s="12"/>
      <c r="BM34" s="23">
        <v>1</v>
      </c>
      <c r="BN34" s="23">
        <v>0</v>
      </c>
      <c r="BO34" s="23">
        <v>0</v>
      </c>
      <c r="BP34" s="23">
        <v>0</v>
      </c>
      <c r="BQ34" s="23">
        <v>1</v>
      </c>
      <c r="BR34" s="23">
        <v>0</v>
      </c>
      <c r="BS34" s="23">
        <v>0</v>
      </c>
      <c r="BT34" s="23">
        <v>0</v>
      </c>
      <c r="BU34" s="38">
        <v>43583.576388888898</v>
      </c>
      <c r="BV34" s="44"/>
      <c r="BW34" s="44"/>
      <c r="BX34" s="44"/>
      <c r="BY34" s="45"/>
      <c r="BZ34" s="103"/>
      <c r="CA34" s="103"/>
      <c r="CB34" s="23">
        <v>0</v>
      </c>
      <c r="CC34" s="23"/>
      <c r="CD34" s="23">
        <v>0</v>
      </c>
      <c r="CE34" s="23"/>
      <c r="CF34" s="23">
        <v>0</v>
      </c>
      <c r="CG34" s="23"/>
      <c r="CH34" s="103"/>
      <c r="CI34" s="96">
        <v>1</v>
      </c>
      <c r="CJ34" s="96">
        <v>0</v>
      </c>
      <c r="CK34" s="96">
        <v>0</v>
      </c>
      <c r="CL34" s="96">
        <v>1</v>
      </c>
      <c r="CM34" s="96">
        <v>0</v>
      </c>
      <c r="CN34" s="23">
        <v>0</v>
      </c>
      <c r="CO34" s="23">
        <v>0</v>
      </c>
      <c r="CP34" s="23">
        <v>0</v>
      </c>
      <c r="CQ34" s="23">
        <v>0</v>
      </c>
      <c r="CR34" s="23">
        <v>0</v>
      </c>
      <c r="CS34" s="23">
        <v>0</v>
      </c>
      <c r="CT34" s="23">
        <v>0</v>
      </c>
      <c r="CU34" s="23">
        <v>0</v>
      </c>
      <c r="CV34" s="23">
        <v>0</v>
      </c>
      <c r="CW34" s="23">
        <v>0</v>
      </c>
      <c r="CX34" s="25">
        <v>0</v>
      </c>
      <c r="CY34" s="25">
        <v>5</v>
      </c>
      <c r="CZ34" s="25">
        <v>0</v>
      </c>
      <c r="DA34" s="25">
        <v>5</v>
      </c>
      <c r="DB34" s="25">
        <v>0</v>
      </c>
      <c r="DC34" s="25">
        <v>2</v>
      </c>
      <c r="DD34" s="25">
        <v>0</v>
      </c>
      <c r="DE34" s="105">
        <v>5</v>
      </c>
      <c r="DF34" s="25">
        <v>0</v>
      </c>
      <c r="DG34" s="105">
        <v>5</v>
      </c>
      <c r="DH34" s="26">
        <v>0</v>
      </c>
      <c r="DI34" s="26">
        <v>3</v>
      </c>
      <c r="DJ34" s="10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1</v>
      </c>
      <c r="DS34" s="25">
        <v>0</v>
      </c>
      <c r="DT34" s="26">
        <v>0</v>
      </c>
      <c r="DU34" s="26">
        <v>0</v>
      </c>
      <c r="DV34" s="26">
        <v>0</v>
      </c>
      <c r="DW34" s="26">
        <v>0</v>
      </c>
      <c r="DX34" s="26"/>
      <c r="DY34" s="10">
        <v>1.37</v>
      </c>
      <c r="EB34" s="10">
        <v>385</v>
      </c>
      <c r="ED34" s="10">
        <v>145</v>
      </c>
      <c r="EE34" s="10">
        <v>3.18</v>
      </c>
      <c r="EF34" s="10">
        <v>104</v>
      </c>
      <c r="EG34" s="10">
        <v>851</v>
      </c>
      <c r="EH34" s="10">
        <v>672</v>
      </c>
      <c r="EI34" s="10">
        <v>408</v>
      </c>
      <c r="EJ34" s="10">
        <v>58</v>
      </c>
      <c r="EK34" s="10">
        <v>0.2</v>
      </c>
      <c r="EL34" s="10" t="s">
        <v>878</v>
      </c>
      <c r="EO34" s="94">
        <v>0</v>
      </c>
      <c r="EP34" s="10">
        <v>60</v>
      </c>
      <c r="EQ34" s="10">
        <v>53</v>
      </c>
      <c r="ES34" s="10">
        <v>15.2</v>
      </c>
      <c r="ET34" s="10">
        <v>1</v>
      </c>
      <c r="EU34" s="94"/>
      <c r="EV34" s="94"/>
      <c r="EW34" s="94"/>
      <c r="EZ34" s="13"/>
      <c r="FI34" s="10">
        <v>1</v>
      </c>
      <c r="FJ34" s="10">
        <v>1</v>
      </c>
      <c r="FK34" s="10">
        <v>0</v>
      </c>
      <c r="FL34" s="10">
        <v>3</v>
      </c>
      <c r="FM34" s="10">
        <v>1</v>
      </c>
      <c r="FN34" s="10">
        <v>0</v>
      </c>
      <c r="FO34" s="10">
        <v>0</v>
      </c>
      <c r="FP34" s="10">
        <v>0</v>
      </c>
      <c r="FQ34" s="10">
        <v>1</v>
      </c>
      <c r="FR34" s="10">
        <v>1</v>
      </c>
      <c r="FS34" s="10">
        <v>0</v>
      </c>
      <c r="FU34" s="10">
        <v>2</v>
      </c>
      <c r="FV34" s="10">
        <v>4</v>
      </c>
      <c r="FW34" s="10">
        <v>0</v>
      </c>
      <c r="FX34" s="10">
        <v>0</v>
      </c>
      <c r="FY34" s="10">
        <v>1</v>
      </c>
      <c r="FZ34" s="10">
        <v>0</v>
      </c>
      <c r="GA34" s="10">
        <v>45</v>
      </c>
      <c r="GC34" s="52" t="s">
        <v>248</v>
      </c>
      <c r="GD34" s="10" t="s">
        <v>473</v>
      </c>
    </row>
    <row r="35" spans="1:186" s="10" customFormat="1" ht="15" x14ac:dyDescent="0.2">
      <c r="A35" s="22">
        <v>13456666</v>
      </c>
      <c r="B35" s="22">
        <v>0</v>
      </c>
      <c r="C35" s="29">
        <v>43579</v>
      </c>
      <c r="D35" s="10">
        <v>23</v>
      </c>
      <c r="E35" s="10">
        <v>29</v>
      </c>
      <c r="F35" s="10">
        <v>29</v>
      </c>
      <c r="G35" s="10">
        <f t="shared" si="0"/>
        <v>6</v>
      </c>
      <c r="H35" s="23">
        <v>0</v>
      </c>
      <c r="I35" s="23">
        <v>0</v>
      </c>
      <c r="J35" s="23">
        <v>50</v>
      </c>
      <c r="K35" s="23">
        <v>1</v>
      </c>
      <c r="L35" s="23">
        <v>0</v>
      </c>
      <c r="M35" s="23">
        <v>1</v>
      </c>
      <c r="N35" s="23"/>
      <c r="O35" s="23">
        <v>5</v>
      </c>
      <c r="P35" s="23">
        <v>0</v>
      </c>
      <c r="Q35" s="23">
        <v>80</v>
      </c>
      <c r="R35" s="23">
        <v>190</v>
      </c>
      <c r="S35" s="34">
        <f t="shared" si="1"/>
        <v>22.1606648199446</v>
      </c>
      <c r="T35" s="10">
        <v>0</v>
      </c>
      <c r="U35" s="23">
        <v>0</v>
      </c>
      <c r="V35" s="23">
        <v>2</v>
      </c>
      <c r="W35" s="38">
        <v>43579.638888888898</v>
      </c>
      <c r="X35" s="38">
        <v>43579.652777777803</v>
      </c>
      <c r="Y35" s="38">
        <v>43579.736111111102</v>
      </c>
      <c r="Z35" s="38">
        <v>43579.7409722222</v>
      </c>
      <c r="AA35" s="39">
        <f t="shared" si="2"/>
        <v>20.000000023283064</v>
      </c>
      <c r="AB35" s="39">
        <f t="shared" si="3"/>
        <v>119.99999995110556</v>
      </c>
      <c r="AC35" s="39">
        <f t="shared" si="4"/>
        <v>139.99999997438863</v>
      </c>
      <c r="AD35" s="41">
        <v>1</v>
      </c>
      <c r="AE35" s="22">
        <v>2</v>
      </c>
      <c r="AF35" s="22"/>
      <c r="AG35" s="99">
        <v>2</v>
      </c>
      <c r="AH35" s="11">
        <v>8</v>
      </c>
      <c r="AI35" s="23">
        <v>0</v>
      </c>
      <c r="AJ35" s="23">
        <v>0</v>
      </c>
      <c r="AK35" s="23">
        <v>0</v>
      </c>
      <c r="AL35" s="23">
        <v>0</v>
      </c>
      <c r="AM35" s="94">
        <v>10</v>
      </c>
      <c r="AN35" s="10">
        <v>0</v>
      </c>
      <c r="AO35" s="94"/>
      <c r="AP35" s="94">
        <v>0</v>
      </c>
      <c r="AQ35" s="94">
        <v>0</v>
      </c>
      <c r="AR35" s="94">
        <v>0</v>
      </c>
      <c r="AS35" s="94">
        <v>0</v>
      </c>
      <c r="AT35" s="94">
        <v>0</v>
      </c>
      <c r="AU35" s="94">
        <v>0</v>
      </c>
      <c r="AV35" s="94">
        <v>0</v>
      </c>
      <c r="AW35" s="94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2</v>
      </c>
      <c r="BC35" s="21">
        <v>0</v>
      </c>
      <c r="BD35" s="10">
        <v>1</v>
      </c>
      <c r="BE35" s="10">
        <v>0</v>
      </c>
      <c r="BF35" s="10">
        <v>0</v>
      </c>
      <c r="BG35" s="10">
        <v>1</v>
      </c>
      <c r="BH35" s="10">
        <v>1</v>
      </c>
      <c r="BI35" s="10">
        <v>0</v>
      </c>
      <c r="BJ35" s="10">
        <v>173</v>
      </c>
      <c r="BK35" s="12"/>
      <c r="BM35" s="23">
        <v>1</v>
      </c>
      <c r="BN35" s="23">
        <v>0</v>
      </c>
      <c r="BO35" s="23">
        <v>0</v>
      </c>
      <c r="BP35" s="23">
        <v>1</v>
      </c>
      <c r="BQ35" s="23">
        <v>0</v>
      </c>
      <c r="BR35" s="23">
        <v>0</v>
      </c>
      <c r="BS35" s="23">
        <v>0</v>
      </c>
      <c r="BT35" s="23">
        <v>0</v>
      </c>
      <c r="BU35" s="38">
        <v>43579.7590277778</v>
      </c>
      <c r="BV35" s="38"/>
      <c r="BW35" s="38">
        <v>43579.854166666701</v>
      </c>
      <c r="BX35" s="38">
        <v>43579.911111111098</v>
      </c>
      <c r="BY35" s="38">
        <v>43579.911111111098</v>
      </c>
      <c r="BZ35" s="26">
        <v>0</v>
      </c>
      <c r="CA35" s="26">
        <v>0</v>
      </c>
      <c r="CB35" s="23">
        <v>0</v>
      </c>
      <c r="CC35" s="23"/>
      <c r="CD35" s="23">
        <v>0</v>
      </c>
      <c r="CE35" s="23"/>
      <c r="CF35" s="23">
        <v>0</v>
      </c>
      <c r="CG35" s="23"/>
      <c r="CH35" s="103">
        <v>0</v>
      </c>
      <c r="CI35" s="23">
        <v>1</v>
      </c>
      <c r="CJ35" s="23">
        <v>0</v>
      </c>
      <c r="CK35" s="23">
        <v>0</v>
      </c>
      <c r="CL35" s="23">
        <v>1</v>
      </c>
      <c r="CM35" s="23">
        <v>0</v>
      </c>
      <c r="CN35" s="23">
        <v>0</v>
      </c>
      <c r="CO35" s="23">
        <v>0</v>
      </c>
      <c r="CP35" s="23">
        <v>0</v>
      </c>
      <c r="CQ35" s="23">
        <v>0</v>
      </c>
      <c r="CR35" s="23">
        <v>0</v>
      </c>
      <c r="CS35" s="23">
        <v>0</v>
      </c>
      <c r="CT35" s="23">
        <v>0</v>
      </c>
      <c r="CU35" s="23">
        <v>0</v>
      </c>
      <c r="CV35" s="23">
        <v>0</v>
      </c>
      <c r="CW35" s="23">
        <v>0</v>
      </c>
      <c r="CX35" s="25">
        <v>0</v>
      </c>
      <c r="CY35" s="25">
        <v>4</v>
      </c>
      <c r="CZ35" s="25">
        <v>0</v>
      </c>
      <c r="DA35" s="25">
        <v>4</v>
      </c>
      <c r="DB35" s="25">
        <v>0</v>
      </c>
      <c r="DC35" s="25">
        <v>0</v>
      </c>
      <c r="DD35" s="25">
        <v>0</v>
      </c>
      <c r="DE35" s="105">
        <v>1</v>
      </c>
      <c r="DF35" s="25">
        <v>0</v>
      </c>
      <c r="DG35" s="105">
        <v>1</v>
      </c>
      <c r="DH35" s="26">
        <v>0</v>
      </c>
      <c r="DI35" s="26">
        <v>2</v>
      </c>
      <c r="DJ35" s="10">
        <v>0</v>
      </c>
      <c r="DK35" s="25">
        <v>0</v>
      </c>
      <c r="DL35" s="25">
        <v>0</v>
      </c>
      <c r="DM35" s="25">
        <v>0</v>
      </c>
      <c r="DN35" s="25">
        <v>0</v>
      </c>
      <c r="DO35" s="25">
        <v>0</v>
      </c>
      <c r="DP35" s="25">
        <v>0</v>
      </c>
      <c r="DQ35" s="25">
        <v>0</v>
      </c>
      <c r="DR35" s="25">
        <v>1</v>
      </c>
      <c r="DS35" s="25">
        <v>1</v>
      </c>
      <c r="DT35" s="26">
        <v>1</v>
      </c>
      <c r="DU35" s="26">
        <v>1</v>
      </c>
      <c r="DV35" s="26">
        <v>0</v>
      </c>
      <c r="DW35" s="26">
        <v>0</v>
      </c>
      <c r="DX35" s="26"/>
      <c r="DY35" s="10">
        <v>1.48</v>
      </c>
      <c r="DZ35" s="10">
        <v>1.05</v>
      </c>
      <c r="EB35" s="10">
        <v>157</v>
      </c>
      <c r="EC35" s="10">
        <v>1</v>
      </c>
      <c r="ED35" s="10">
        <v>138</v>
      </c>
      <c r="EF35" s="10">
        <v>97</v>
      </c>
      <c r="EG35" s="10">
        <v>4971</v>
      </c>
      <c r="EH35" s="10">
        <v>1699</v>
      </c>
      <c r="EI35" s="10">
        <v>1712</v>
      </c>
      <c r="EJ35" s="10">
        <v>33</v>
      </c>
      <c r="EK35" s="10">
        <v>0.1</v>
      </c>
      <c r="EL35" s="10">
        <v>8</v>
      </c>
      <c r="EM35" s="10">
        <v>14.9</v>
      </c>
      <c r="EN35" s="10">
        <v>2.4</v>
      </c>
      <c r="EO35" s="94">
        <v>1</v>
      </c>
      <c r="EP35" s="10">
        <v>107</v>
      </c>
      <c r="EQ35" s="10">
        <v>38</v>
      </c>
      <c r="ES35" s="10">
        <v>15</v>
      </c>
      <c r="ET35" s="10">
        <v>1</v>
      </c>
      <c r="EU35" s="10">
        <v>0</v>
      </c>
      <c r="EV35" s="10">
        <v>8</v>
      </c>
      <c r="EW35" s="10">
        <v>1</v>
      </c>
      <c r="EX35" s="10">
        <v>500</v>
      </c>
      <c r="EY35" s="10">
        <v>10</v>
      </c>
      <c r="EZ35" s="13" t="s">
        <v>673</v>
      </c>
      <c r="FA35" s="10">
        <v>1</v>
      </c>
      <c r="FD35" s="10">
        <v>7.06</v>
      </c>
      <c r="FE35" s="10">
        <v>7.21</v>
      </c>
      <c r="FF35" s="10" t="s">
        <v>564</v>
      </c>
      <c r="FI35" s="10">
        <v>1</v>
      </c>
      <c r="FJ35" s="10">
        <v>1</v>
      </c>
      <c r="FK35" s="10">
        <v>1</v>
      </c>
      <c r="FL35" s="10">
        <v>0</v>
      </c>
      <c r="FM35" s="10">
        <v>1</v>
      </c>
      <c r="FN35" s="10">
        <v>1</v>
      </c>
      <c r="FO35" s="10">
        <v>1</v>
      </c>
      <c r="FP35" s="10">
        <v>0</v>
      </c>
      <c r="FQ35" s="10">
        <v>3</v>
      </c>
      <c r="FR35" s="10">
        <v>1</v>
      </c>
      <c r="FS35" s="10">
        <v>0</v>
      </c>
      <c r="FU35" s="10">
        <v>2</v>
      </c>
      <c r="FV35" s="10">
        <v>1</v>
      </c>
      <c r="FW35" s="94">
        <v>0</v>
      </c>
      <c r="FX35" s="10">
        <v>0</v>
      </c>
      <c r="FY35" s="10">
        <v>1</v>
      </c>
      <c r="FZ35" s="10">
        <v>0</v>
      </c>
      <c r="GA35" s="10">
        <v>35</v>
      </c>
      <c r="GC35" s="52" t="s">
        <v>483</v>
      </c>
      <c r="GD35" s="10" t="s">
        <v>472</v>
      </c>
    </row>
    <row r="36" spans="1:186" s="10" customFormat="1" ht="15" x14ac:dyDescent="0.2">
      <c r="A36" s="22">
        <v>13453321</v>
      </c>
      <c r="B36" s="22">
        <v>0</v>
      </c>
      <c r="C36" s="29">
        <v>43573</v>
      </c>
      <c r="D36" s="10">
        <v>31</v>
      </c>
      <c r="E36" s="10">
        <v>32</v>
      </c>
      <c r="F36" s="10">
        <v>5</v>
      </c>
      <c r="G36" s="10">
        <f t="shared" si="0"/>
        <v>-26</v>
      </c>
      <c r="H36" s="23">
        <v>1</v>
      </c>
      <c r="I36" s="23">
        <v>0</v>
      </c>
      <c r="J36" s="23">
        <v>51</v>
      </c>
      <c r="K36" s="23">
        <v>1</v>
      </c>
      <c r="L36" s="23">
        <v>0</v>
      </c>
      <c r="M36" s="23">
        <v>1</v>
      </c>
      <c r="N36" s="23"/>
      <c r="O36" s="23">
        <v>3</v>
      </c>
      <c r="P36" s="23">
        <v>0</v>
      </c>
      <c r="Q36" s="23">
        <v>75</v>
      </c>
      <c r="R36" s="23">
        <v>175</v>
      </c>
      <c r="S36" s="34">
        <f t="shared" si="1"/>
        <v>24.489795918367346</v>
      </c>
      <c r="T36" s="10">
        <v>2</v>
      </c>
      <c r="U36" s="23">
        <v>0</v>
      </c>
      <c r="V36" s="23">
        <v>3</v>
      </c>
      <c r="W36" s="38">
        <v>43573.458333333299</v>
      </c>
      <c r="X36" s="38">
        <v>43573.474999999999</v>
      </c>
      <c r="Y36" s="38">
        <v>43573.532638888901</v>
      </c>
      <c r="Z36" s="38">
        <v>43573.541666666701</v>
      </c>
      <c r="AA36" s="39">
        <f t="shared" si="2"/>
        <v>24.000000046798959</v>
      </c>
      <c r="AB36" s="39">
        <f t="shared" si="3"/>
        <v>83.000000019092113</v>
      </c>
      <c r="AC36" s="39">
        <f t="shared" si="4"/>
        <v>107.00000006589107</v>
      </c>
      <c r="AD36" s="41">
        <v>0</v>
      </c>
      <c r="AE36" s="22">
        <v>1</v>
      </c>
      <c r="AF36" s="22">
        <v>0</v>
      </c>
      <c r="AG36" s="14">
        <v>2</v>
      </c>
      <c r="AH36" s="14">
        <v>3</v>
      </c>
      <c r="AI36" s="23">
        <v>0</v>
      </c>
      <c r="AJ36" s="23">
        <v>0</v>
      </c>
      <c r="AK36" s="23">
        <v>0</v>
      </c>
      <c r="AL36" s="23">
        <v>1</v>
      </c>
      <c r="AM36" s="10">
        <v>12</v>
      </c>
      <c r="AN36" s="10">
        <v>0</v>
      </c>
      <c r="AO36" s="10">
        <v>700</v>
      </c>
      <c r="AP36" s="94">
        <v>0</v>
      </c>
      <c r="AQ36" s="94">
        <v>0</v>
      </c>
      <c r="AR36" s="94">
        <v>0</v>
      </c>
      <c r="AS36" s="94">
        <v>0</v>
      </c>
      <c r="AT36" s="94">
        <v>0</v>
      </c>
      <c r="AU36" s="94">
        <v>0</v>
      </c>
      <c r="AV36" s="94">
        <v>0</v>
      </c>
      <c r="AW36" s="94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21">
        <v>0</v>
      </c>
      <c r="BD36" s="10">
        <v>0</v>
      </c>
      <c r="BE36" s="10">
        <v>0</v>
      </c>
      <c r="BF36" s="10">
        <v>0</v>
      </c>
      <c r="BG36" s="10">
        <v>1</v>
      </c>
      <c r="BH36" s="10">
        <v>0</v>
      </c>
      <c r="BI36" s="10">
        <v>0</v>
      </c>
      <c r="BJ36" s="10">
        <v>136</v>
      </c>
      <c r="BK36" s="12"/>
      <c r="BM36" s="23">
        <v>1</v>
      </c>
      <c r="BN36" s="23">
        <v>0</v>
      </c>
      <c r="BO36" s="23">
        <v>0</v>
      </c>
      <c r="BP36" s="23">
        <v>0</v>
      </c>
      <c r="BQ36" s="23">
        <v>1</v>
      </c>
      <c r="BR36" s="23">
        <v>0</v>
      </c>
      <c r="BS36" s="23">
        <v>0</v>
      </c>
      <c r="BT36" s="23">
        <v>0</v>
      </c>
      <c r="BU36" s="38">
        <v>43573.572916666701</v>
      </c>
      <c r="BV36" s="38">
        <v>43573.732638888898</v>
      </c>
      <c r="BW36" s="38">
        <v>43573.71875</v>
      </c>
      <c r="BX36" s="38">
        <v>43573.739583333336</v>
      </c>
      <c r="BY36" s="47">
        <v>43573.753472222219</v>
      </c>
      <c r="BZ36" s="103"/>
      <c r="CA36" s="103"/>
      <c r="CB36" s="23">
        <v>1</v>
      </c>
      <c r="CC36" s="23">
        <v>0</v>
      </c>
      <c r="CD36" s="23">
        <v>1</v>
      </c>
      <c r="CE36" s="23">
        <v>0</v>
      </c>
      <c r="CF36" s="23">
        <v>0</v>
      </c>
      <c r="CG36" s="23"/>
      <c r="CH36" s="103"/>
      <c r="CI36" s="23">
        <v>1</v>
      </c>
      <c r="CJ36" s="23">
        <v>0</v>
      </c>
      <c r="CK36" s="23">
        <v>0</v>
      </c>
      <c r="CL36" s="23">
        <v>1</v>
      </c>
      <c r="CM36" s="23">
        <v>0</v>
      </c>
      <c r="CN36" s="23">
        <v>0</v>
      </c>
      <c r="CO36" s="23">
        <v>0</v>
      </c>
      <c r="CP36" s="23">
        <v>0</v>
      </c>
      <c r="CQ36" s="23">
        <v>0</v>
      </c>
      <c r="CR36" s="23">
        <v>0</v>
      </c>
      <c r="CS36" s="23">
        <v>0</v>
      </c>
      <c r="CT36" s="23">
        <v>0</v>
      </c>
      <c r="CU36" s="23">
        <v>0</v>
      </c>
      <c r="CV36" s="23">
        <v>0</v>
      </c>
      <c r="CW36" s="23">
        <v>0</v>
      </c>
      <c r="CX36" s="25">
        <v>0</v>
      </c>
      <c r="CY36" s="25">
        <v>5</v>
      </c>
      <c r="CZ36" s="25">
        <v>0</v>
      </c>
      <c r="DA36" s="25">
        <v>5</v>
      </c>
      <c r="DB36" s="25">
        <v>0</v>
      </c>
      <c r="DC36" s="25">
        <v>0</v>
      </c>
      <c r="DD36" s="25">
        <v>0</v>
      </c>
      <c r="DE36" s="105">
        <v>0</v>
      </c>
      <c r="DF36" s="25">
        <v>0</v>
      </c>
      <c r="DG36" s="105">
        <v>0</v>
      </c>
      <c r="DH36" s="26">
        <v>0</v>
      </c>
      <c r="DI36" s="26">
        <v>3</v>
      </c>
      <c r="DJ36" s="10">
        <v>0</v>
      </c>
      <c r="DK36" s="25">
        <v>0</v>
      </c>
      <c r="DL36" s="25">
        <v>0</v>
      </c>
      <c r="DM36" s="25">
        <v>1</v>
      </c>
      <c r="DN36" s="25">
        <v>1</v>
      </c>
      <c r="DO36" s="25">
        <v>0</v>
      </c>
      <c r="DP36" s="25">
        <v>0</v>
      </c>
      <c r="DQ36" s="25">
        <v>0</v>
      </c>
      <c r="DR36" s="25">
        <v>1</v>
      </c>
      <c r="DS36" s="25">
        <v>0</v>
      </c>
      <c r="DT36" s="26">
        <v>0</v>
      </c>
      <c r="DU36" s="26">
        <v>0</v>
      </c>
      <c r="DV36" s="26">
        <v>0</v>
      </c>
      <c r="DW36" s="26">
        <v>0</v>
      </c>
      <c r="DX36" s="26"/>
      <c r="DY36" s="10">
        <v>1.7</v>
      </c>
      <c r="DZ36" s="10">
        <v>0.92</v>
      </c>
      <c r="EB36" s="10">
        <v>635</v>
      </c>
      <c r="EC36" s="10">
        <v>1</v>
      </c>
      <c r="ED36" s="10">
        <v>144</v>
      </c>
      <c r="EE36" s="10">
        <v>9.49</v>
      </c>
      <c r="EF36" s="10">
        <v>105</v>
      </c>
      <c r="EG36" s="10">
        <v>715</v>
      </c>
      <c r="EH36" s="10">
        <v>277</v>
      </c>
      <c r="EI36" s="10">
        <v>263</v>
      </c>
      <c r="EJ36" s="10">
        <v>79</v>
      </c>
      <c r="EK36" s="10">
        <v>0.2</v>
      </c>
      <c r="EL36" s="10" t="s">
        <v>885</v>
      </c>
      <c r="EO36" s="94">
        <v>0</v>
      </c>
      <c r="EP36" s="10">
        <v>148</v>
      </c>
      <c r="EQ36" s="10">
        <v>25</v>
      </c>
      <c r="ES36" s="10">
        <v>18.3</v>
      </c>
      <c r="ET36" s="10">
        <v>0</v>
      </c>
      <c r="EU36" s="10">
        <v>1</v>
      </c>
      <c r="EV36" s="10">
        <v>7.5</v>
      </c>
      <c r="EW36" s="94"/>
      <c r="EX36" s="10">
        <v>500</v>
      </c>
      <c r="EY36" s="10">
        <v>15</v>
      </c>
      <c r="EZ36" s="13" t="s">
        <v>673</v>
      </c>
      <c r="FA36" s="10">
        <v>1</v>
      </c>
      <c r="FI36" s="10">
        <v>1</v>
      </c>
      <c r="FJ36" s="10">
        <v>1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4</v>
      </c>
      <c r="FR36" s="94"/>
      <c r="FS36" s="10">
        <v>0</v>
      </c>
      <c r="FU36" s="10">
        <v>1</v>
      </c>
      <c r="FV36" s="10">
        <v>4</v>
      </c>
      <c r="FW36" s="94">
        <v>0</v>
      </c>
      <c r="FX36" s="10">
        <v>0</v>
      </c>
      <c r="FY36" s="10">
        <v>1</v>
      </c>
      <c r="FZ36" s="10">
        <v>5</v>
      </c>
      <c r="GA36" s="10">
        <v>45</v>
      </c>
      <c r="GC36" s="52">
        <v>0</v>
      </c>
      <c r="GD36" s="10" t="s">
        <v>471</v>
      </c>
    </row>
    <row r="37" spans="1:186" s="10" customFormat="1" ht="15" x14ac:dyDescent="0.2">
      <c r="A37" s="22">
        <v>13448944</v>
      </c>
      <c r="B37" s="22">
        <v>0</v>
      </c>
      <c r="C37" s="29">
        <v>43557</v>
      </c>
      <c r="D37" s="10">
        <v>16</v>
      </c>
      <c r="E37" s="10">
        <v>22</v>
      </c>
      <c r="F37" s="10">
        <v>22</v>
      </c>
      <c r="G37" s="10">
        <f t="shared" si="0"/>
        <v>6</v>
      </c>
      <c r="H37" s="23">
        <v>0</v>
      </c>
      <c r="I37" s="23">
        <v>0</v>
      </c>
      <c r="J37" s="23">
        <v>43</v>
      </c>
      <c r="K37" s="23">
        <v>1</v>
      </c>
      <c r="L37" s="23">
        <v>0</v>
      </c>
      <c r="M37" s="23">
        <v>1</v>
      </c>
      <c r="N37" s="23"/>
      <c r="O37" s="23">
        <v>0</v>
      </c>
      <c r="P37" s="23">
        <v>0</v>
      </c>
      <c r="Q37" s="23">
        <v>80</v>
      </c>
      <c r="R37" s="23">
        <v>170</v>
      </c>
      <c r="S37" s="34">
        <f t="shared" si="1"/>
        <v>27.681660899653981</v>
      </c>
      <c r="T37" s="10">
        <v>1</v>
      </c>
      <c r="U37" s="23">
        <v>0</v>
      </c>
      <c r="V37" s="23">
        <v>3</v>
      </c>
      <c r="W37" s="38">
        <v>43557.112500000003</v>
      </c>
      <c r="X37" s="38">
        <v>43557.122916666704</v>
      </c>
      <c r="Y37" s="38">
        <v>43557.164583333302</v>
      </c>
      <c r="Z37" s="38">
        <v>43557.173611111102</v>
      </c>
      <c r="AA37" s="39">
        <f t="shared" si="2"/>
        <v>15.000000048894435</v>
      </c>
      <c r="AB37" s="39">
        <f t="shared" si="3"/>
        <v>59.99999990221113</v>
      </c>
      <c r="AC37" s="39">
        <f t="shared" si="4"/>
        <v>74.999999951105565</v>
      </c>
      <c r="AD37" s="41">
        <v>0</v>
      </c>
      <c r="AE37" s="22">
        <v>1</v>
      </c>
      <c r="AF37" s="22">
        <v>3</v>
      </c>
      <c r="AG37" s="14">
        <v>1</v>
      </c>
      <c r="AH37" s="14">
        <v>1</v>
      </c>
      <c r="AI37" s="23">
        <v>0</v>
      </c>
      <c r="AJ37" s="23">
        <v>0</v>
      </c>
      <c r="AK37" s="23">
        <v>0</v>
      </c>
      <c r="AL37" s="23">
        <v>0</v>
      </c>
      <c r="AM37" s="10">
        <v>6</v>
      </c>
      <c r="AN37" s="10">
        <v>0</v>
      </c>
      <c r="AO37" s="10">
        <v>250</v>
      </c>
      <c r="AP37" s="94">
        <v>0</v>
      </c>
      <c r="AQ37" s="94">
        <v>0</v>
      </c>
      <c r="AR37" s="94">
        <v>0</v>
      </c>
      <c r="AS37" s="94">
        <v>0</v>
      </c>
      <c r="AT37" s="94">
        <v>0</v>
      </c>
      <c r="AU37" s="94">
        <v>0</v>
      </c>
      <c r="AV37" s="94">
        <v>0</v>
      </c>
      <c r="AW37" s="94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1</v>
      </c>
      <c r="BC37" s="21">
        <v>0</v>
      </c>
      <c r="BD37" s="10">
        <v>0</v>
      </c>
      <c r="BE37" s="10">
        <v>0</v>
      </c>
      <c r="BF37" s="10">
        <v>1</v>
      </c>
      <c r="BG37" s="10">
        <v>1</v>
      </c>
      <c r="BH37" s="94"/>
      <c r="BI37" s="94"/>
      <c r="BJ37" s="10">
        <v>126</v>
      </c>
      <c r="BK37" s="12">
        <v>691</v>
      </c>
      <c r="BL37" s="10">
        <v>1055</v>
      </c>
      <c r="BM37" s="23">
        <v>1</v>
      </c>
      <c r="BN37" s="23">
        <v>0</v>
      </c>
      <c r="BO37" s="23">
        <v>0</v>
      </c>
      <c r="BP37" s="23">
        <v>1</v>
      </c>
      <c r="BQ37" s="23">
        <v>0</v>
      </c>
      <c r="BR37" s="23">
        <v>0</v>
      </c>
      <c r="BS37" s="23">
        <v>0</v>
      </c>
      <c r="BT37" s="23">
        <v>0</v>
      </c>
      <c r="BU37" s="38">
        <v>43557.2</v>
      </c>
      <c r="BV37" s="38">
        <v>43557.229166666701</v>
      </c>
      <c r="BW37" s="38">
        <v>43557.229166666701</v>
      </c>
      <c r="BX37" s="38">
        <v>43557.3125</v>
      </c>
      <c r="BY37" s="38">
        <v>43557.3125</v>
      </c>
      <c r="BZ37" s="26">
        <v>0</v>
      </c>
      <c r="CA37" s="26">
        <v>0</v>
      </c>
      <c r="CB37" s="23">
        <v>1</v>
      </c>
      <c r="CC37" s="23">
        <v>0</v>
      </c>
      <c r="CD37" s="23">
        <v>1</v>
      </c>
      <c r="CE37" s="23">
        <v>0</v>
      </c>
      <c r="CF37" s="23">
        <v>0</v>
      </c>
      <c r="CG37" s="23"/>
      <c r="CH37" s="103">
        <v>0</v>
      </c>
      <c r="CI37" s="23">
        <v>1</v>
      </c>
      <c r="CJ37" s="23">
        <v>1</v>
      </c>
      <c r="CK37" s="23">
        <v>1</v>
      </c>
      <c r="CL37" s="23">
        <v>1</v>
      </c>
      <c r="CM37" s="23">
        <v>0</v>
      </c>
      <c r="CN37" s="23">
        <v>0</v>
      </c>
      <c r="CO37" s="23">
        <v>0</v>
      </c>
      <c r="CP37" s="23">
        <v>0</v>
      </c>
      <c r="CQ37" s="23">
        <v>0</v>
      </c>
      <c r="CR37" s="23">
        <v>0</v>
      </c>
      <c r="CS37" s="23">
        <v>0</v>
      </c>
      <c r="CT37" s="23">
        <v>0</v>
      </c>
      <c r="CU37" s="23">
        <v>0</v>
      </c>
      <c r="CV37" s="23">
        <v>0</v>
      </c>
      <c r="CW37" s="23">
        <v>0</v>
      </c>
      <c r="CX37" s="25">
        <v>0</v>
      </c>
      <c r="CY37" s="25">
        <v>5</v>
      </c>
      <c r="CZ37" s="25">
        <v>0</v>
      </c>
      <c r="DA37" s="25">
        <v>5</v>
      </c>
      <c r="DB37" s="25">
        <v>0</v>
      </c>
      <c r="DC37" s="25">
        <v>0</v>
      </c>
      <c r="DD37" s="25">
        <v>0</v>
      </c>
      <c r="DE37" s="25">
        <v>1</v>
      </c>
      <c r="DF37" s="25">
        <v>1</v>
      </c>
      <c r="DG37" s="105"/>
      <c r="DH37" s="26">
        <v>1</v>
      </c>
      <c r="DI37" s="26">
        <v>0</v>
      </c>
      <c r="DJ37" s="10">
        <v>0</v>
      </c>
      <c r="DK37" s="25">
        <v>0</v>
      </c>
      <c r="DL37" s="25">
        <v>0</v>
      </c>
      <c r="DM37" s="25">
        <v>1</v>
      </c>
      <c r="DN37" s="25">
        <v>1</v>
      </c>
      <c r="DO37" s="25">
        <v>0</v>
      </c>
      <c r="DP37" s="25">
        <v>0</v>
      </c>
      <c r="DQ37" s="25">
        <v>0</v>
      </c>
      <c r="DR37" s="25">
        <v>1</v>
      </c>
      <c r="DS37" s="25"/>
      <c r="DT37" s="26">
        <v>1</v>
      </c>
      <c r="DU37" s="26">
        <v>1</v>
      </c>
      <c r="DV37" s="26">
        <v>0</v>
      </c>
      <c r="DW37" s="26">
        <v>0</v>
      </c>
      <c r="DX37" s="26"/>
      <c r="DY37" s="10">
        <v>1.32</v>
      </c>
      <c r="DZ37" s="10">
        <v>0.71</v>
      </c>
      <c r="EO37" s="94">
        <v>0</v>
      </c>
      <c r="EP37" s="10">
        <v>63</v>
      </c>
      <c r="EQ37" s="94">
        <v>5</v>
      </c>
      <c r="ES37" s="10">
        <v>11.6</v>
      </c>
      <c r="ET37" s="10">
        <v>1</v>
      </c>
      <c r="EU37" s="10">
        <v>0</v>
      </c>
      <c r="EV37" s="10">
        <v>7.5</v>
      </c>
      <c r="EW37" s="10">
        <v>1</v>
      </c>
      <c r="EX37" s="10">
        <v>470</v>
      </c>
      <c r="EY37" s="10">
        <v>15</v>
      </c>
      <c r="EZ37" s="13" t="s">
        <v>673</v>
      </c>
      <c r="FA37" s="10">
        <v>1</v>
      </c>
      <c r="FD37" s="10">
        <v>6.5</v>
      </c>
      <c r="FE37" s="10">
        <v>6.55</v>
      </c>
      <c r="FF37" s="10" t="s">
        <v>563</v>
      </c>
      <c r="FI37" s="10">
        <v>1</v>
      </c>
      <c r="FJ37" s="10">
        <v>1</v>
      </c>
      <c r="FK37" s="10">
        <v>1</v>
      </c>
      <c r="FL37" s="10">
        <v>2</v>
      </c>
      <c r="FM37" s="10">
        <v>0</v>
      </c>
      <c r="FN37" s="10">
        <v>0</v>
      </c>
      <c r="FO37" s="10">
        <v>0</v>
      </c>
      <c r="FQ37" s="10">
        <v>5</v>
      </c>
      <c r="FR37" s="10">
        <v>1</v>
      </c>
      <c r="FS37" s="10">
        <v>0</v>
      </c>
      <c r="FU37" s="10">
        <v>1</v>
      </c>
      <c r="FV37" s="10">
        <v>0</v>
      </c>
      <c r="FW37" s="10">
        <v>0</v>
      </c>
      <c r="FX37" s="10">
        <v>0</v>
      </c>
      <c r="FY37" s="10">
        <v>1</v>
      </c>
      <c r="FZ37" s="10">
        <v>0</v>
      </c>
      <c r="GA37" s="10">
        <v>40</v>
      </c>
      <c r="GD37" s="52" t="s">
        <v>562</v>
      </c>
    </row>
    <row r="38" spans="1:186" s="10" customFormat="1" ht="15" x14ac:dyDescent="0.2">
      <c r="A38" s="22">
        <v>13449375</v>
      </c>
      <c r="B38" s="22">
        <v>0</v>
      </c>
      <c r="C38" s="29">
        <v>43557</v>
      </c>
      <c r="D38" s="10">
        <v>17</v>
      </c>
      <c r="E38" s="10">
        <v>21</v>
      </c>
      <c r="F38" s="10">
        <v>30</v>
      </c>
      <c r="G38" s="10">
        <f t="shared" si="0"/>
        <v>13</v>
      </c>
      <c r="H38" s="23">
        <v>1</v>
      </c>
      <c r="I38" s="23">
        <v>0</v>
      </c>
      <c r="J38" s="23">
        <v>46</v>
      </c>
      <c r="K38" s="23">
        <v>1</v>
      </c>
      <c r="L38" s="23">
        <v>0</v>
      </c>
      <c r="M38" s="23">
        <v>1</v>
      </c>
      <c r="N38" s="23"/>
      <c r="O38" s="23">
        <v>5</v>
      </c>
      <c r="P38" s="23">
        <v>0</v>
      </c>
      <c r="Q38" s="23">
        <v>90</v>
      </c>
      <c r="R38" s="23">
        <v>175</v>
      </c>
      <c r="S38" s="34">
        <f t="shared" si="1"/>
        <v>29.387755102040817</v>
      </c>
      <c r="T38" s="10">
        <v>0</v>
      </c>
      <c r="U38" s="23">
        <v>0</v>
      </c>
      <c r="V38" s="23">
        <v>2</v>
      </c>
      <c r="W38" s="38">
        <v>43557.714583333298</v>
      </c>
      <c r="X38" s="38">
        <v>43557.724999999999</v>
      </c>
      <c r="Y38" s="38">
        <v>43557.78125</v>
      </c>
      <c r="Z38" s="38">
        <v>43557.788194444402</v>
      </c>
      <c r="AA38" s="39">
        <f t="shared" si="2"/>
        <v>15.000000048894435</v>
      </c>
      <c r="AB38" s="39">
        <f t="shared" si="3"/>
        <v>81.000000002095476</v>
      </c>
      <c r="AC38" s="39">
        <f t="shared" si="4"/>
        <v>96.000000050989911</v>
      </c>
      <c r="AD38" s="41">
        <v>0</v>
      </c>
      <c r="AE38" s="22">
        <v>1</v>
      </c>
      <c r="AF38" s="22">
        <v>3</v>
      </c>
      <c r="AG38" s="14">
        <v>1</v>
      </c>
      <c r="AH38" s="14">
        <v>1</v>
      </c>
      <c r="AI38" s="23">
        <v>0</v>
      </c>
      <c r="AJ38" s="23">
        <v>0</v>
      </c>
      <c r="AK38" s="23">
        <v>0</v>
      </c>
      <c r="AL38" s="23">
        <v>1</v>
      </c>
      <c r="AM38" s="10">
        <v>10</v>
      </c>
      <c r="AN38" s="10">
        <v>0</v>
      </c>
      <c r="AO38" s="10">
        <v>500</v>
      </c>
      <c r="AP38" s="94">
        <v>0</v>
      </c>
      <c r="AQ38" s="94">
        <v>0</v>
      </c>
      <c r="AR38" s="94">
        <v>0</v>
      </c>
      <c r="AS38" s="94">
        <v>0</v>
      </c>
      <c r="AT38" s="94">
        <v>0</v>
      </c>
      <c r="AU38" s="94">
        <v>0</v>
      </c>
      <c r="AV38" s="94">
        <v>0</v>
      </c>
      <c r="AW38" s="94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21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130</v>
      </c>
      <c r="BK38" s="12"/>
      <c r="BM38" s="23">
        <v>1</v>
      </c>
      <c r="BN38" s="23">
        <v>0</v>
      </c>
      <c r="BO38" s="23">
        <v>0</v>
      </c>
      <c r="BP38" s="23">
        <v>0</v>
      </c>
      <c r="BQ38" s="23">
        <v>1</v>
      </c>
      <c r="BR38" s="23">
        <v>0</v>
      </c>
      <c r="BS38" s="23">
        <v>0</v>
      </c>
      <c r="BT38" s="23">
        <v>0</v>
      </c>
      <c r="BU38" s="38">
        <v>43557.815277777801</v>
      </c>
      <c r="BV38" s="38">
        <v>43557.916666666701</v>
      </c>
      <c r="BW38" s="38">
        <v>43557.895833333299</v>
      </c>
      <c r="BX38" s="38">
        <v>43557.9375</v>
      </c>
      <c r="BY38" s="38">
        <v>43557.916666666701</v>
      </c>
      <c r="BZ38" s="103"/>
      <c r="CA38" s="103"/>
      <c r="CB38" s="23">
        <v>0</v>
      </c>
      <c r="CC38" s="23"/>
      <c r="CD38" s="23">
        <v>0</v>
      </c>
      <c r="CE38" s="23"/>
      <c r="CF38" s="23">
        <v>0</v>
      </c>
      <c r="CG38" s="23"/>
      <c r="CH38" s="103"/>
      <c r="CI38" s="23">
        <v>1</v>
      </c>
      <c r="CJ38" s="23">
        <v>0</v>
      </c>
      <c r="CK38" s="23">
        <v>0</v>
      </c>
      <c r="CL38" s="23">
        <v>1</v>
      </c>
      <c r="CM38" s="23">
        <v>0</v>
      </c>
      <c r="CN38" s="23">
        <v>0</v>
      </c>
      <c r="CO38" s="23">
        <v>0</v>
      </c>
      <c r="CP38" s="23">
        <v>0</v>
      </c>
      <c r="CQ38" s="23">
        <v>0</v>
      </c>
      <c r="CR38" s="23">
        <v>0</v>
      </c>
      <c r="CS38" s="23">
        <v>0</v>
      </c>
      <c r="CT38" s="23">
        <v>0</v>
      </c>
      <c r="CU38" s="23">
        <v>0</v>
      </c>
      <c r="CV38" s="23">
        <v>0</v>
      </c>
      <c r="CW38" s="23">
        <v>0</v>
      </c>
      <c r="CX38" s="25">
        <v>0</v>
      </c>
      <c r="CY38" s="25">
        <v>5</v>
      </c>
      <c r="CZ38" s="25">
        <v>0</v>
      </c>
      <c r="DA38" s="25">
        <v>5</v>
      </c>
      <c r="DB38" s="25">
        <v>1</v>
      </c>
      <c r="DC38" s="25"/>
      <c r="DD38" s="25">
        <v>0</v>
      </c>
      <c r="DE38" s="105">
        <v>0</v>
      </c>
      <c r="DF38" s="25">
        <v>0</v>
      </c>
      <c r="DG38" s="105">
        <v>0</v>
      </c>
      <c r="DH38" s="26">
        <v>0</v>
      </c>
      <c r="DI38" s="26">
        <v>3</v>
      </c>
      <c r="DJ38" s="10">
        <v>0</v>
      </c>
      <c r="DK38" s="25">
        <v>0</v>
      </c>
      <c r="DL38" s="25">
        <v>0</v>
      </c>
      <c r="DM38" s="25">
        <v>0</v>
      </c>
      <c r="DN38" s="25">
        <v>0</v>
      </c>
      <c r="DO38" s="25">
        <v>0</v>
      </c>
      <c r="DP38" s="25">
        <v>0</v>
      </c>
      <c r="DQ38" s="25">
        <v>0</v>
      </c>
      <c r="DR38" s="25">
        <v>1</v>
      </c>
      <c r="DS38" s="25">
        <v>0</v>
      </c>
      <c r="DT38" s="26">
        <v>1</v>
      </c>
      <c r="DU38" s="26">
        <v>0</v>
      </c>
      <c r="DV38" s="26">
        <v>0</v>
      </c>
      <c r="DW38" s="26">
        <v>1</v>
      </c>
      <c r="DX38" s="26"/>
      <c r="DY38" s="10">
        <v>1.26</v>
      </c>
      <c r="EB38" s="10">
        <v>1350</v>
      </c>
      <c r="EO38" s="94"/>
      <c r="ET38" s="94"/>
      <c r="EU38" s="94"/>
      <c r="EV38" s="94"/>
      <c r="EW38" s="94"/>
      <c r="EZ38" s="13"/>
      <c r="FI38" s="10">
        <v>1</v>
      </c>
      <c r="FJ38" s="10">
        <v>1</v>
      </c>
      <c r="FK38" s="10">
        <v>0</v>
      </c>
      <c r="FL38" s="10">
        <v>2</v>
      </c>
      <c r="FM38" s="10">
        <v>0</v>
      </c>
      <c r="FN38" s="10">
        <v>0</v>
      </c>
      <c r="FO38" s="10">
        <v>0</v>
      </c>
      <c r="FP38" s="10">
        <v>0</v>
      </c>
      <c r="FQ38" s="94"/>
      <c r="FR38" s="10">
        <v>1</v>
      </c>
      <c r="FS38" s="10">
        <v>0</v>
      </c>
      <c r="FU38" s="10">
        <v>1</v>
      </c>
      <c r="FV38" s="10">
        <v>4</v>
      </c>
      <c r="FW38" s="10">
        <v>0</v>
      </c>
      <c r="FX38" s="94"/>
      <c r="FY38" s="10">
        <v>1</v>
      </c>
      <c r="FZ38" s="10">
        <v>0</v>
      </c>
      <c r="GA38" s="10">
        <v>40</v>
      </c>
      <c r="GC38" s="52" t="s">
        <v>243</v>
      </c>
      <c r="GD38" s="10" t="s">
        <v>470</v>
      </c>
    </row>
    <row r="39" spans="1:186" s="10" customFormat="1" ht="15" x14ac:dyDescent="0.2">
      <c r="A39" s="22">
        <v>13436366</v>
      </c>
      <c r="B39" s="22">
        <v>0</v>
      </c>
      <c r="C39" s="29">
        <v>43509</v>
      </c>
      <c r="D39" s="10">
        <v>31</v>
      </c>
      <c r="E39" s="10">
        <v>34</v>
      </c>
      <c r="F39" s="10">
        <v>26</v>
      </c>
      <c r="G39" s="10">
        <f t="shared" si="0"/>
        <v>-5</v>
      </c>
      <c r="H39" s="23">
        <v>0</v>
      </c>
      <c r="I39" s="23">
        <v>0</v>
      </c>
      <c r="J39" s="23">
        <v>56</v>
      </c>
      <c r="K39" s="23">
        <v>1</v>
      </c>
      <c r="L39" s="23">
        <v>0</v>
      </c>
      <c r="M39" s="23">
        <v>1</v>
      </c>
      <c r="N39" s="23"/>
      <c r="O39" s="23">
        <v>5</v>
      </c>
      <c r="P39" s="23">
        <v>0</v>
      </c>
      <c r="Q39" s="23">
        <v>85</v>
      </c>
      <c r="R39" s="23">
        <v>172</v>
      </c>
      <c r="S39" s="34">
        <f t="shared" si="1"/>
        <v>28.731746890210928</v>
      </c>
      <c r="T39" s="10">
        <v>0</v>
      </c>
      <c r="U39" s="23">
        <v>1</v>
      </c>
      <c r="V39" s="23">
        <v>2</v>
      </c>
      <c r="W39" s="38">
        <v>43509.438194444403</v>
      </c>
      <c r="X39" s="38">
        <v>43509.439583333296</v>
      </c>
      <c r="Y39" s="38">
        <v>43509.479166666701</v>
      </c>
      <c r="Z39" s="38">
        <v>43509.495138888902</v>
      </c>
      <c r="AA39" s="39">
        <f t="shared" si="2"/>
        <v>2.000000006519258</v>
      </c>
      <c r="AB39" s="39">
        <f t="shared" si="3"/>
        <v>57.000000101979822</v>
      </c>
      <c r="AC39" s="39">
        <f t="shared" si="4"/>
        <v>59.00000010849908</v>
      </c>
      <c r="AD39" s="41">
        <v>1</v>
      </c>
      <c r="AE39" s="22">
        <v>2</v>
      </c>
      <c r="AF39" s="22"/>
      <c r="AG39" s="99"/>
      <c r="AH39" s="11">
        <v>2</v>
      </c>
      <c r="AI39" s="23">
        <v>1</v>
      </c>
      <c r="AJ39" s="23"/>
      <c r="AK39" s="23">
        <v>0</v>
      </c>
      <c r="AL39" s="23">
        <v>0</v>
      </c>
      <c r="AM39" s="10">
        <v>6</v>
      </c>
      <c r="AN39" s="10">
        <v>0</v>
      </c>
      <c r="AO39" s="10">
        <v>700</v>
      </c>
      <c r="AP39" s="10">
        <v>1</v>
      </c>
      <c r="AQ39" s="10">
        <v>1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1</v>
      </c>
      <c r="AX39" s="10">
        <v>0</v>
      </c>
      <c r="AY39" s="10">
        <v>0</v>
      </c>
      <c r="AZ39" s="10">
        <v>0</v>
      </c>
      <c r="BA39" s="10">
        <v>1</v>
      </c>
      <c r="BB39" s="10">
        <v>1</v>
      </c>
      <c r="BC39" s="21">
        <v>1</v>
      </c>
      <c r="BD39" s="10">
        <v>1</v>
      </c>
      <c r="BE39" s="10">
        <v>0</v>
      </c>
      <c r="BF39" s="10">
        <v>1</v>
      </c>
      <c r="BG39" s="10">
        <v>1</v>
      </c>
      <c r="BH39" s="10">
        <v>0</v>
      </c>
      <c r="BI39" s="10">
        <v>0</v>
      </c>
      <c r="BJ39" s="10">
        <v>145</v>
      </c>
      <c r="BK39" s="12"/>
      <c r="BM39" s="23">
        <v>1</v>
      </c>
      <c r="BN39" s="23">
        <v>0</v>
      </c>
      <c r="BO39" s="23">
        <v>0</v>
      </c>
      <c r="BP39" s="23">
        <v>1</v>
      </c>
      <c r="BQ39" s="23">
        <v>0</v>
      </c>
      <c r="BR39" s="23">
        <v>0</v>
      </c>
      <c r="BS39" s="23">
        <v>0</v>
      </c>
      <c r="BT39" s="23">
        <v>0</v>
      </c>
      <c r="BU39" s="38">
        <v>43509.5180555556</v>
      </c>
      <c r="BV39" s="38"/>
      <c r="BW39" s="38">
        <v>43509.666666666701</v>
      </c>
      <c r="BX39" s="38">
        <v>43509.684027777803</v>
      </c>
      <c r="BY39" s="38">
        <v>43509.684027777803</v>
      </c>
      <c r="BZ39" s="26">
        <v>0</v>
      </c>
      <c r="CA39" s="26">
        <v>0</v>
      </c>
      <c r="CB39" s="23">
        <v>0</v>
      </c>
      <c r="CC39" s="23"/>
      <c r="CD39" s="23">
        <v>0</v>
      </c>
      <c r="CE39" s="23"/>
      <c r="CF39" s="23">
        <v>0</v>
      </c>
      <c r="CG39" s="23"/>
      <c r="CH39" s="103">
        <v>0</v>
      </c>
      <c r="CI39" s="23">
        <v>1</v>
      </c>
      <c r="CJ39" s="23">
        <v>0</v>
      </c>
      <c r="CK39" s="23">
        <v>0</v>
      </c>
      <c r="CL39" s="23">
        <v>1</v>
      </c>
      <c r="CM39" s="23">
        <v>0</v>
      </c>
      <c r="CN39" s="23">
        <v>0</v>
      </c>
      <c r="CO39" s="23">
        <v>0</v>
      </c>
      <c r="CP39" s="23">
        <v>0</v>
      </c>
      <c r="CQ39" s="23">
        <v>0</v>
      </c>
      <c r="CR39" s="23">
        <v>0</v>
      </c>
      <c r="CS39" s="23">
        <v>0</v>
      </c>
      <c r="CT39" s="23">
        <v>0</v>
      </c>
      <c r="CU39" s="23">
        <v>0</v>
      </c>
      <c r="CV39" s="23">
        <v>0</v>
      </c>
      <c r="CW39" s="23">
        <v>0</v>
      </c>
      <c r="CX39" s="25">
        <v>0</v>
      </c>
      <c r="CY39" s="25">
        <v>0</v>
      </c>
      <c r="CZ39" s="25">
        <v>0</v>
      </c>
      <c r="DA39" s="25">
        <v>0</v>
      </c>
      <c r="DB39" s="25">
        <v>0</v>
      </c>
      <c r="DC39" s="25">
        <v>0</v>
      </c>
      <c r="DD39" s="25">
        <v>0</v>
      </c>
      <c r="DE39" s="105">
        <v>3</v>
      </c>
      <c r="DF39" s="25">
        <v>0</v>
      </c>
      <c r="DG39" s="105">
        <v>3</v>
      </c>
      <c r="DH39" s="26">
        <v>0</v>
      </c>
      <c r="DI39" s="26">
        <v>2</v>
      </c>
      <c r="DJ39" s="10">
        <v>0</v>
      </c>
      <c r="DK39" s="25">
        <v>0</v>
      </c>
      <c r="DL39" s="25">
        <v>0</v>
      </c>
      <c r="DM39" s="25">
        <v>0</v>
      </c>
      <c r="DN39" s="25">
        <v>0</v>
      </c>
      <c r="DO39" s="25">
        <v>0</v>
      </c>
      <c r="DP39" s="25">
        <v>0</v>
      </c>
      <c r="DQ39" s="25">
        <v>0</v>
      </c>
      <c r="DR39" s="25">
        <v>1</v>
      </c>
      <c r="DS39" s="25"/>
      <c r="DT39" s="26">
        <v>1</v>
      </c>
      <c r="DU39" s="26">
        <v>1</v>
      </c>
      <c r="DV39" s="26">
        <v>0</v>
      </c>
      <c r="DW39" s="26">
        <v>0</v>
      </c>
      <c r="DX39" s="26"/>
      <c r="DY39" s="10">
        <v>1.37</v>
      </c>
      <c r="DZ39" s="10">
        <v>0.96</v>
      </c>
      <c r="EA39" s="10">
        <v>505</v>
      </c>
      <c r="EB39" s="10">
        <v>606</v>
      </c>
      <c r="ED39" s="10">
        <v>138</v>
      </c>
      <c r="EE39" s="10">
        <v>1315</v>
      </c>
      <c r="EF39" s="10">
        <v>98</v>
      </c>
      <c r="EH39" s="10">
        <v>533</v>
      </c>
      <c r="EJ39" s="10">
        <v>173</v>
      </c>
      <c r="EL39" s="10">
        <v>8.5</v>
      </c>
      <c r="EM39" s="10">
        <v>11.7</v>
      </c>
      <c r="EO39" s="94">
        <v>0</v>
      </c>
      <c r="EP39" s="10">
        <v>66</v>
      </c>
      <c r="EQ39" s="10">
        <v>37</v>
      </c>
      <c r="ES39" s="94" t="s">
        <v>871</v>
      </c>
      <c r="ET39" s="10">
        <v>0</v>
      </c>
      <c r="EU39" s="10">
        <v>2</v>
      </c>
      <c r="EV39" s="10">
        <v>8</v>
      </c>
      <c r="EW39" s="94"/>
      <c r="EY39" s="10">
        <v>15</v>
      </c>
      <c r="EZ39" s="13"/>
      <c r="FA39" s="10">
        <v>1</v>
      </c>
      <c r="FD39" s="10">
        <v>7.13</v>
      </c>
      <c r="FE39" s="10">
        <v>7.41</v>
      </c>
      <c r="FF39" s="10" t="s">
        <v>605</v>
      </c>
      <c r="FI39" s="10">
        <v>1</v>
      </c>
      <c r="FJ39" s="10">
        <v>1</v>
      </c>
      <c r="FK39" s="10">
        <v>1</v>
      </c>
      <c r="FL39" s="10">
        <v>0</v>
      </c>
      <c r="FM39" s="10">
        <v>0</v>
      </c>
      <c r="FN39" s="10">
        <v>0</v>
      </c>
      <c r="FO39" s="10">
        <v>0</v>
      </c>
      <c r="FP39" s="10">
        <v>1</v>
      </c>
      <c r="FQ39" s="10">
        <v>3</v>
      </c>
      <c r="FR39" s="10">
        <v>3</v>
      </c>
      <c r="FS39" s="10">
        <v>0</v>
      </c>
      <c r="FT39" s="10">
        <v>120</v>
      </c>
      <c r="FU39" s="10">
        <v>1</v>
      </c>
      <c r="FV39" s="10">
        <v>1</v>
      </c>
      <c r="FW39" s="10">
        <v>0</v>
      </c>
      <c r="FX39" s="10">
        <v>0</v>
      </c>
      <c r="FY39" s="10">
        <v>1</v>
      </c>
      <c r="FZ39" s="10">
        <v>2</v>
      </c>
      <c r="GA39" s="10">
        <v>75</v>
      </c>
      <c r="GC39" s="52" t="s">
        <v>246</v>
      </c>
    </row>
    <row r="40" spans="1:186" s="10" customFormat="1" ht="15" x14ac:dyDescent="0.2">
      <c r="A40" s="22">
        <v>13433430</v>
      </c>
      <c r="B40" s="22">
        <v>0</v>
      </c>
      <c r="C40" s="29">
        <v>43501</v>
      </c>
      <c r="H40" s="23">
        <v>1</v>
      </c>
      <c r="I40" s="23">
        <v>0</v>
      </c>
      <c r="J40" s="23">
        <v>52</v>
      </c>
      <c r="K40" s="23">
        <v>2</v>
      </c>
      <c r="L40" s="23">
        <v>0</v>
      </c>
      <c r="M40" s="23">
        <v>1</v>
      </c>
      <c r="N40" s="23"/>
      <c r="O40" s="23">
        <v>4</v>
      </c>
      <c r="P40" s="23">
        <v>0</v>
      </c>
      <c r="Q40" s="23">
        <v>95</v>
      </c>
      <c r="R40" s="23">
        <v>178</v>
      </c>
      <c r="S40" s="34">
        <f t="shared" si="1"/>
        <v>29.983587930816814</v>
      </c>
      <c r="T40" s="10">
        <v>0</v>
      </c>
      <c r="U40" s="23">
        <v>0</v>
      </c>
      <c r="V40" s="23">
        <v>0</v>
      </c>
      <c r="W40" s="38">
        <v>43501.375</v>
      </c>
      <c r="X40" s="38">
        <v>43501.386111111096</v>
      </c>
      <c r="Y40" s="38">
        <v>43501.454861111102</v>
      </c>
      <c r="Z40" s="38">
        <v>43501.4597222222</v>
      </c>
      <c r="AA40" s="39">
        <f t="shared" si="2"/>
        <v>15.999999978812411</v>
      </c>
      <c r="AB40" s="39">
        <f t="shared" si="3"/>
        <v>99.000000008381903</v>
      </c>
      <c r="AC40" s="39">
        <f t="shared" si="4"/>
        <v>114.99999998719431</v>
      </c>
      <c r="AD40" s="41">
        <v>0</v>
      </c>
      <c r="AE40" s="22">
        <v>1</v>
      </c>
      <c r="AF40" s="22">
        <v>0</v>
      </c>
      <c r="AG40" s="14">
        <v>1</v>
      </c>
      <c r="AH40" s="14">
        <v>1</v>
      </c>
      <c r="AI40" s="23">
        <v>0</v>
      </c>
      <c r="AJ40" s="23">
        <v>0</v>
      </c>
      <c r="AK40" s="23">
        <v>0</v>
      </c>
      <c r="AL40" s="23">
        <v>1</v>
      </c>
      <c r="AM40" s="94">
        <v>5</v>
      </c>
      <c r="AN40" s="94"/>
      <c r="AO40" s="94"/>
      <c r="AP40" s="94">
        <v>0</v>
      </c>
      <c r="AQ40" s="94">
        <v>0</v>
      </c>
      <c r="AR40" s="94">
        <v>0</v>
      </c>
      <c r="AS40" s="94">
        <v>0</v>
      </c>
      <c r="AT40" s="94">
        <v>0</v>
      </c>
      <c r="AU40" s="94">
        <v>0</v>
      </c>
      <c r="AV40" s="94">
        <v>0</v>
      </c>
      <c r="AW40" s="94">
        <v>0</v>
      </c>
      <c r="AX40" s="10">
        <v>6</v>
      </c>
      <c r="AY40" s="10">
        <v>0</v>
      </c>
      <c r="AZ40" s="10">
        <v>0</v>
      </c>
      <c r="BA40" s="10">
        <v>0</v>
      </c>
      <c r="BB40" s="10">
        <v>3</v>
      </c>
      <c r="BC40" s="21">
        <v>0</v>
      </c>
      <c r="BD40" s="10">
        <v>1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116</v>
      </c>
      <c r="BK40" s="12"/>
      <c r="BL40" s="10">
        <v>675</v>
      </c>
      <c r="BM40" s="23">
        <v>1</v>
      </c>
      <c r="BN40" s="23">
        <v>1</v>
      </c>
      <c r="BO40" s="23">
        <v>0</v>
      </c>
      <c r="BP40" s="23">
        <v>0</v>
      </c>
      <c r="BQ40" s="23">
        <v>1</v>
      </c>
      <c r="BR40" s="23">
        <v>0</v>
      </c>
      <c r="BS40" s="23">
        <v>0</v>
      </c>
      <c r="BT40" s="23">
        <v>0</v>
      </c>
      <c r="BU40" s="38">
        <v>43501.486111111102</v>
      </c>
      <c r="BV40" s="38">
        <v>43501.583333333299</v>
      </c>
      <c r="BW40" s="38">
        <v>43501.572916666701</v>
      </c>
      <c r="BX40" s="38">
        <v>43501.614583333336</v>
      </c>
      <c r="BY40" s="47">
        <v>43501.59375</v>
      </c>
      <c r="BZ40" s="103"/>
      <c r="CA40" s="103"/>
      <c r="CB40" s="23">
        <v>1</v>
      </c>
      <c r="CC40" s="23">
        <v>0</v>
      </c>
      <c r="CD40" s="23">
        <v>1</v>
      </c>
      <c r="CE40" s="23">
        <v>0</v>
      </c>
      <c r="CF40" s="23">
        <v>0</v>
      </c>
      <c r="CG40" s="23"/>
      <c r="CH40" s="103"/>
      <c r="CI40" s="23">
        <v>1</v>
      </c>
      <c r="CJ40" s="23">
        <v>1</v>
      </c>
      <c r="CK40" s="23">
        <v>1</v>
      </c>
      <c r="CL40" s="23">
        <v>1</v>
      </c>
      <c r="CM40" s="23">
        <v>0</v>
      </c>
      <c r="CN40" s="23">
        <v>0</v>
      </c>
      <c r="CO40" s="23">
        <v>0</v>
      </c>
      <c r="CP40" s="23">
        <v>0</v>
      </c>
      <c r="CQ40" s="23">
        <v>0</v>
      </c>
      <c r="CR40" s="23">
        <v>0</v>
      </c>
      <c r="CS40" s="23">
        <v>0</v>
      </c>
      <c r="CT40" s="23">
        <v>0</v>
      </c>
      <c r="CU40" s="23">
        <v>0</v>
      </c>
      <c r="CV40" s="23">
        <v>0</v>
      </c>
      <c r="CW40" s="23">
        <v>0</v>
      </c>
      <c r="CX40" s="25">
        <v>0</v>
      </c>
      <c r="CY40" s="25">
        <v>0</v>
      </c>
      <c r="CZ40" s="25">
        <v>0</v>
      </c>
      <c r="DA40" s="25">
        <v>0</v>
      </c>
      <c r="DB40" s="25">
        <v>0</v>
      </c>
      <c r="DC40" s="25">
        <v>0</v>
      </c>
      <c r="DD40" s="25">
        <v>0</v>
      </c>
      <c r="DE40" s="105">
        <v>3</v>
      </c>
      <c r="DF40" s="25">
        <v>1</v>
      </c>
      <c r="DG40" s="105"/>
      <c r="DH40" s="26">
        <v>1</v>
      </c>
      <c r="DI40" s="26">
        <v>3</v>
      </c>
      <c r="DJ40" s="10">
        <v>0</v>
      </c>
      <c r="DK40" s="25">
        <v>0</v>
      </c>
      <c r="DL40" s="25">
        <v>1</v>
      </c>
      <c r="DM40" s="25">
        <v>0</v>
      </c>
      <c r="DN40" s="25">
        <v>1</v>
      </c>
      <c r="DO40" s="25">
        <v>0</v>
      </c>
      <c r="DP40" s="25">
        <v>0</v>
      </c>
      <c r="DQ40" s="25">
        <v>0</v>
      </c>
      <c r="DR40" s="25">
        <v>1</v>
      </c>
      <c r="DS40" s="25">
        <v>0</v>
      </c>
      <c r="DT40" s="26">
        <v>0</v>
      </c>
      <c r="DU40" s="26">
        <v>0</v>
      </c>
      <c r="DV40" s="26">
        <v>0</v>
      </c>
      <c r="DW40" s="26">
        <v>0</v>
      </c>
      <c r="DX40" s="26"/>
      <c r="DY40" s="10">
        <v>1.99</v>
      </c>
      <c r="DZ40" s="10">
        <v>0.96</v>
      </c>
      <c r="EB40" s="10">
        <v>213</v>
      </c>
      <c r="ED40" s="10">
        <v>139</v>
      </c>
      <c r="EE40" s="10">
        <v>5.74</v>
      </c>
      <c r="EF40" s="10">
        <v>95</v>
      </c>
      <c r="EG40" s="10">
        <v>1315</v>
      </c>
      <c r="EH40" s="10">
        <v>734</v>
      </c>
      <c r="EI40" s="10">
        <v>694</v>
      </c>
      <c r="EJ40" s="10">
        <v>146</v>
      </c>
      <c r="EK40" s="10">
        <v>0.5</v>
      </c>
      <c r="EL40" s="10">
        <v>9.1</v>
      </c>
      <c r="EO40" s="94">
        <v>0</v>
      </c>
      <c r="EP40" s="10">
        <v>69</v>
      </c>
      <c r="EQ40" s="10">
        <v>38</v>
      </c>
      <c r="ES40" s="10">
        <v>13.7</v>
      </c>
      <c r="ET40" s="94"/>
      <c r="EU40" s="94"/>
      <c r="EV40" s="94"/>
      <c r="EW40" s="94"/>
      <c r="EZ40" s="13"/>
      <c r="FI40" s="10">
        <v>1</v>
      </c>
      <c r="FJ40" s="10">
        <v>1</v>
      </c>
      <c r="FK40" s="10">
        <v>1</v>
      </c>
      <c r="FL40" s="10">
        <v>2</v>
      </c>
      <c r="FM40" s="10">
        <v>0</v>
      </c>
      <c r="FN40" s="10">
        <v>0</v>
      </c>
      <c r="FO40" s="10">
        <v>0</v>
      </c>
      <c r="FP40" s="10">
        <v>0</v>
      </c>
      <c r="FQ40" s="10">
        <v>6</v>
      </c>
      <c r="FR40" s="10">
        <v>1</v>
      </c>
      <c r="FS40" s="10">
        <v>0</v>
      </c>
      <c r="FU40" s="10">
        <v>1</v>
      </c>
      <c r="FV40" s="10">
        <v>4</v>
      </c>
      <c r="FW40" s="10">
        <v>0</v>
      </c>
      <c r="FX40" s="10">
        <v>0</v>
      </c>
      <c r="FY40" s="10">
        <v>1</v>
      </c>
      <c r="FZ40" s="10">
        <v>0</v>
      </c>
      <c r="GA40" s="94"/>
      <c r="GC40" s="52"/>
      <c r="GD40" s="10" t="s">
        <v>618</v>
      </c>
    </row>
    <row r="41" spans="1:186" s="10" customFormat="1" ht="15" x14ac:dyDescent="0.2">
      <c r="A41" s="22">
        <v>13432774</v>
      </c>
      <c r="B41" s="22">
        <v>0</v>
      </c>
      <c r="C41" s="29">
        <v>43500</v>
      </c>
      <c r="D41" s="10">
        <v>8</v>
      </c>
      <c r="E41" s="10">
        <v>20</v>
      </c>
      <c r="F41" s="10">
        <v>23</v>
      </c>
      <c r="G41" s="10">
        <f t="shared" si="0"/>
        <v>15</v>
      </c>
      <c r="H41" s="23">
        <v>0</v>
      </c>
      <c r="I41" s="23">
        <v>0</v>
      </c>
      <c r="J41" s="23">
        <v>57</v>
      </c>
      <c r="K41" s="23">
        <v>0</v>
      </c>
      <c r="L41" s="23">
        <v>0</v>
      </c>
      <c r="M41" s="23">
        <v>1</v>
      </c>
      <c r="N41" s="23"/>
      <c r="O41" s="23">
        <v>6</v>
      </c>
      <c r="P41" s="23">
        <v>0</v>
      </c>
      <c r="Q41" s="23">
        <v>80</v>
      </c>
      <c r="R41" s="23">
        <v>175</v>
      </c>
      <c r="S41" s="34">
        <f t="shared" si="1"/>
        <v>26.122448979591837</v>
      </c>
      <c r="T41" s="10">
        <v>5</v>
      </c>
      <c r="U41" s="23">
        <v>0</v>
      </c>
      <c r="V41" s="23">
        <v>3</v>
      </c>
      <c r="W41" s="38">
        <v>43500.542361111096</v>
      </c>
      <c r="X41" s="38">
        <v>43500.552083333299</v>
      </c>
      <c r="Y41" s="38">
        <v>43500.6</v>
      </c>
      <c r="Z41" s="38">
        <v>43500.6069444444</v>
      </c>
      <c r="AA41" s="39">
        <f t="shared" si="2"/>
        <v>13.999999972293153</v>
      </c>
      <c r="AB41" s="39">
        <f t="shared" si="3"/>
        <v>69.000000046798959</v>
      </c>
      <c r="AC41" s="39">
        <f t="shared" si="4"/>
        <v>83.000000019092113</v>
      </c>
      <c r="AD41" s="41">
        <v>0</v>
      </c>
      <c r="AE41" s="22">
        <v>1</v>
      </c>
      <c r="AF41" s="22">
        <v>6</v>
      </c>
      <c r="AG41" s="14">
        <v>2</v>
      </c>
      <c r="AH41" s="14">
        <v>1</v>
      </c>
      <c r="AI41" s="23">
        <v>0</v>
      </c>
      <c r="AJ41" s="23">
        <v>0</v>
      </c>
      <c r="AK41" s="23">
        <v>0</v>
      </c>
      <c r="AL41" s="23">
        <v>0</v>
      </c>
      <c r="AM41" s="10">
        <v>6</v>
      </c>
      <c r="AN41" s="10">
        <v>0</v>
      </c>
      <c r="AO41" s="10">
        <v>500</v>
      </c>
      <c r="AP41" s="94">
        <v>0</v>
      </c>
      <c r="AQ41" s="94">
        <v>0</v>
      </c>
      <c r="AR41" s="94">
        <v>0</v>
      </c>
      <c r="AS41" s="94">
        <v>0</v>
      </c>
      <c r="AT41" s="94">
        <v>0</v>
      </c>
      <c r="AU41" s="94">
        <v>0</v>
      </c>
      <c r="AV41" s="94">
        <v>0</v>
      </c>
      <c r="AW41" s="94">
        <v>0</v>
      </c>
      <c r="AX41" s="10">
        <v>0</v>
      </c>
      <c r="AY41" s="94">
        <v>1</v>
      </c>
      <c r="AZ41" s="94">
        <v>0</v>
      </c>
      <c r="BA41" s="10">
        <v>0</v>
      </c>
      <c r="BB41" s="10">
        <v>0</v>
      </c>
      <c r="BC41" s="21">
        <v>0</v>
      </c>
      <c r="BD41" s="10">
        <v>1</v>
      </c>
      <c r="BE41" s="10">
        <v>0</v>
      </c>
      <c r="BF41" s="10">
        <v>1</v>
      </c>
      <c r="BG41" s="10">
        <v>1</v>
      </c>
      <c r="BH41" s="10">
        <v>0</v>
      </c>
      <c r="BI41" s="10">
        <v>0</v>
      </c>
      <c r="BJ41" s="10">
        <v>134</v>
      </c>
      <c r="BK41" s="12"/>
      <c r="BM41" s="23">
        <v>1</v>
      </c>
      <c r="BN41" s="23">
        <v>0</v>
      </c>
      <c r="BO41" s="23">
        <v>0</v>
      </c>
      <c r="BP41" s="23">
        <v>1</v>
      </c>
      <c r="BQ41" s="23">
        <v>0</v>
      </c>
      <c r="BR41" s="23">
        <v>0</v>
      </c>
      <c r="BS41" s="23">
        <v>0</v>
      </c>
      <c r="BT41" s="23">
        <v>0</v>
      </c>
      <c r="BU41" s="38">
        <v>43500.635416666701</v>
      </c>
      <c r="BV41" s="38"/>
      <c r="BW41" s="38">
        <v>43500.683333333298</v>
      </c>
      <c r="BX41" s="38">
        <v>43500.746527777803</v>
      </c>
      <c r="BY41" s="38">
        <v>43500.746527777803</v>
      </c>
      <c r="BZ41" s="26">
        <v>0</v>
      </c>
      <c r="CA41" s="26">
        <v>0</v>
      </c>
      <c r="CB41" s="23">
        <v>1</v>
      </c>
      <c r="CC41" s="23">
        <v>0</v>
      </c>
      <c r="CD41" s="23">
        <v>1</v>
      </c>
      <c r="CE41" s="23">
        <v>0</v>
      </c>
      <c r="CF41" s="23">
        <v>0</v>
      </c>
      <c r="CG41" s="23"/>
      <c r="CH41" s="103">
        <v>0</v>
      </c>
      <c r="CI41" s="23">
        <v>1</v>
      </c>
      <c r="CJ41" s="23">
        <v>0</v>
      </c>
      <c r="CK41" s="23">
        <v>0</v>
      </c>
      <c r="CL41" s="23">
        <v>1</v>
      </c>
      <c r="CM41" s="23">
        <v>0</v>
      </c>
      <c r="CN41" s="23">
        <v>0</v>
      </c>
      <c r="CO41" s="23">
        <v>0</v>
      </c>
      <c r="CP41" s="23">
        <v>0</v>
      </c>
      <c r="CQ41" s="23">
        <v>0</v>
      </c>
      <c r="CR41" s="23">
        <v>0</v>
      </c>
      <c r="CS41" s="23">
        <v>0</v>
      </c>
      <c r="CT41" s="23">
        <v>0</v>
      </c>
      <c r="CU41" s="23">
        <v>0</v>
      </c>
      <c r="CV41" s="23">
        <v>0</v>
      </c>
      <c r="CW41" s="23">
        <v>0</v>
      </c>
      <c r="CX41" s="25">
        <v>0</v>
      </c>
      <c r="CY41" s="25">
        <v>3</v>
      </c>
      <c r="CZ41" s="25">
        <v>0</v>
      </c>
      <c r="DA41" s="25">
        <v>3</v>
      </c>
      <c r="DB41" s="25">
        <v>0</v>
      </c>
      <c r="DC41" s="25">
        <v>3</v>
      </c>
      <c r="DD41" s="25">
        <v>0</v>
      </c>
      <c r="DE41" s="105">
        <v>4</v>
      </c>
      <c r="DF41" s="25">
        <v>0</v>
      </c>
      <c r="DG41" s="105">
        <v>4</v>
      </c>
      <c r="DH41" s="26">
        <v>0</v>
      </c>
      <c r="DI41" s="26">
        <v>0</v>
      </c>
      <c r="DJ41" s="10">
        <v>0</v>
      </c>
      <c r="DK41" s="25">
        <v>0</v>
      </c>
      <c r="DL41" s="25">
        <v>0</v>
      </c>
      <c r="DM41" s="25">
        <v>1</v>
      </c>
      <c r="DN41" s="25">
        <v>0</v>
      </c>
      <c r="DO41" s="25">
        <v>0</v>
      </c>
      <c r="DP41" s="25">
        <v>0</v>
      </c>
      <c r="DQ41" s="25">
        <v>0</v>
      </c>
      <c r="DR41" s="25">
        <v>1</v>
      </c>
      <c r="DS41" s="25"/>
      <c r="DT41" s="26"/>
      <c r="DU41" s="26"/>
      <c r="DV41" s="26"/>
      <c r="DW41" s="26">
        <v>0</v>
      </c>
      <c r="DX41" s="26"/>
      <c r="DY41" s="10">
        <v>0.95</v>
      </c>
      <c r="DZ41" s="10">
        <v>0.71</v>
      </c>
      <c r="EA41" s="10">
        <v>306</v>
      </c>
      <c r="EB41" s="10">
        <v>346</v>
      </c>
      <c r="ED41" s="10">
        <v>134</v>
      </c>
      <c r="EE41" s="10">
        <v>4</v>
      </c>
      <c r="EF41" s="10">
        <v>97</v>
      </c>
      <c r="EG41" s="10">
        <v>640</v>
      </c>
      <c r="EH41" s="10">
        <v>44</v>
      </c>
      <c r="EI41" s="10">
        <v>56</v>
      </c>
      <c r="EJ41" s="10">
        <v>89</v>
      </c>
      <c r="EL41" s="10">
        <v>9.3000000000000007</v>
      </c>
      <c r="EM41" s="10">
        <v>7.1</v>
      </c>
      <c r="EO41" s="94">
        <v>0</v>
      </c>
      <c r="EP41" s="10">
        <v>70</v>
      </c>
      <c r="EQ41" s="10">
        <v>27</v>
      </c>
      <c r="ES41" s="10">
        <v>15.2</v>
      </c>
      <c r="ET41" s="10">
        <v>1</v>
      </c>
      <c r="EU41" s="10">
        <v>0</v>
      </c>
      <c r="EV41" s="10">
        <v>8</v>
      </c>
      <c r="EW41" s="10">
        <v>0</v>
      </c>
      <c r="EX41" s="10">
        <v>500</v>
      </c>
      <c r="EY41" s="10">
        <v>10</v>
      </c>
      <c r="EZ41" s="13" t="s">
        <v>673</v>
      </c>
      <c r="FA41" s="10">
        <v>2</v>
      </c>
      <c r="FI41" s="10">
        <v>1</v>
      </c>
      <c r="FJ41" s="10">
        <v>1</v>
      </c>
      <c r="FK41" s="10">
        <v>0</v>
      </c>
      <c r="FL41" s="10">
        <v>0</v>
      </c>
      <c r="FM41" s="10">
        <v>0</v>
      </c>
      <c r="FN41" s="10">
        <v>1</v>
      </c>
      <c r="FO41" s="10">
        <v>0</v>
      </c>
      <c r="FP41" s="10">
        <v>0</v>
      </c>
      <c r="FQ41" s="10">
        <v>2</v>
      </c>
      <c r="FR41" s="10">
        <v>1</v>
      </c>
      <c r="FS41" s="10">
        <v>0</v>
      </c>
      <c r="FU41" s="10">
        <v>1</v>
      </c>
      <c r="FV41" s="10">
        <v>0</v>
      </c>
      <c r="FW41" s="10">
        <v>0</v>
      </c>
      <c r="FX41" s="10">
        <v>2</v>
      </c>
      <c r="FY41" s="10">
        <v>0</v>
      </c>
      <c r="FZ41" s="10">
        <v>4</v>
      </c>
      <c r="GA41" s="10">
        <v>45</v>
      </c>
      <c r="GC41" s="53" t="s">
        <v>245</v>
      </c>
      <c r="GD41" s="10" t="s">
        <v>565</v>
      </c>
    </row>
    <row r="42" spans="1:186" s="10" customFormat="1" ht="15" x14ac:dyDescent="0.2">
      <c r="A42" s="22">
        <v>13432962</v>
      </c>
      <c r="B42" s="22">
        <v>0</v>
      </c>
      <c r="C42" s="29">
        <v>43499</v>
      </c>
      <c r="D42" s="10">
        <v>45</v>
      </c>
      <c r="E42" s="10">
        <v>16</v>
      </c>
      <c r="F42" s="10">
        <v>15</v>
      </c>
      <c r="G42" s="10">
        <f t="shared" si="0"/>
        <v>-30</v>
      </c>
      <c r="H42" s="23">
        <v>0</v>
      </c>
      <c r="I42" s="23">
        <v>0</v>
      </c>
      <c r="J42" s="23">
        <v>57</v>
      </c>
      <c r="K42" s="23">
        <v>1</v>
      </c>
      <c r="L42" s="23">
        <v>0</v>
      </c>
      <c r="M42" s="23">
        <v>1</v>
      </c>
      <c r="N42" s="23"/>
      <c r="O42" s="23">
        <v>2</v>
      </c>
      <c r="P42" s="23">
        <v>0</v>
      </c>
      <c r="Q42" s="23">
        <v>80</v>
      </c>
      <c r="R42" s="23">
        <v>176</v>
      </c>
      <c r="S42" s="34">
        <f t="shared" si="1"/>
        <v>25.826446280991735</v>
      </c>
      <c r="T42" s="10">
        <v>0</v>
      </c>
      <c r="U42" s="23">
        <v>2</v>
      </c>
      <c r="V42" s="23">
        <v>2</v>
      </c>
      <c r="W42" s="38">
        <v>43499.876388888901</v>
      </c>
      <c r="X42" s="38">
        <v>43499.879166666702</v>
      </c>
      <c r="Y42" s="38">
        <v>43499.9375</v>
      </c>
      <c r="Z42" s="38">
        <v>43499.951388888898</v>
      </c>
      <c r="AA42" s="39">
        <f t="shared" si="2"/>
        <v>4.000000033993274</v>
      </c>
      <c r="AB42" s="39">
        <f t="shared" si="3"/>
        <v>83.999999949010089</v>
      </c>
      <c r="AC42" s="39">
        <f t="shared" si="4"/>
        <v>87.999999983003363</v>
      </c>
      <c r="AD42" s="41">
        <v>0</v>
      </c>
      <c r="AE42" s="22">
        <v>1</v>
      </c>
      <c r="AF42" s="22">
        <v>1</v>
      </c>
      <c r="AG42" s="99"/>
      <c r="AH42" s="11">
        <v>5</v>
      </c>
      <c r="AI42" s="23">
        <v>1</v>
      </c>
      <c r="AJ42" s="23"/>
      <c r="AK42" s="23">
        <v>0</v>
      </c>
      <c r="AL42" s="23">
        <v>0</v>
      </c>
      <c r="AM42" s="10">
        <v>7</v>
      </c>
      <c r="AN42" s="10">
        <v>1</v>
      </c>
      <c r="AO42" s="10">
        <v>1000</v>
      </c>
      <c r="AP42" s="94">
        <v>0</v>
      </c>
      <c r="AQ42" s="94">
        <v>0</v>
      </c>
      <c r="AR42" s="94">
        <v>0</v>
      </c>
      <c r="AS42" s="94">
        <v>0</v>
      </c>
      <c r="AT42" s="94">
        <v>0</v>
      </c>
      <c r="AU42" s="94">
        <v>0</v>
      </c>
      <c r="AV42" s="94">
        <v>0</v>
      </c>
      <c r="AW42" s="94">
        <v>0</v>
      </c>
      <c r="AX42" s="10">
        <v>2</v>
      </c>
      <c r="AY42" s="10">
        <v>0</v>
      </c>
      <c r="AZ42" s="10">
        <v>0</v>
      </c>
      <c r="BA42" s="10">
        <v>1</v>
      </c>
      <c r="BB42" s="10">
        <v>3</v>
      </c>
      <c r="BC42" s="21">
        <v>0</v>
      </c>
      <c r="BD42" s="10">
        <v>1</v>
      </c>
      <c r="BE42" s="10">
        <v>0</v>
      </c>
      <c r="BF42" s="10">
        <v>1</v>
      </c>
      <c r="BG42" s="10">
        <v>0</v>
      </c>
      <c r="BH42" s="10">
        <v>0</v>
      </c>
      <c r="BI42" s="10">
        <v>0</v>
      </c>
      <c r="BJ42" s="10">
        <v>141</v>
      </c>
      <c r="BK42" s="12"/>
      <c r="BM42" s="23">
        <v>1</v>
      </c>
      <c r="BN42" s="23">
        <v>0</v>
      </c>
      <c r="BO42" s="23">
        <v>0</v>
      </c>
      <c r="BP42" s="23">
        <v>1</v>
      </c>
      <c r="BQ42" s="23">
        <v>0</v>
      </c>
      <c r="BR42" s="23">
        <v>0</v>
      </c>
      <c r="BS42" s="23">
        <v>0</v>
      </c>
      <c r="BT42" s="23">
        <v>0</v>
      </c>
      <c r="BU42" s="38">
        <v>43499.974305555603</v>
      </c>
      <c r="BV42" s="38">
        <v>43499.974305555603</v>
      </c>
      <c r="BW42" s="38">
        <v>43500.065972222197</v>
      </c>
      <c r="BX42" s="38">
        <v>43500.104166666701</v>
      </c>
      <c r="BY42" s="38">
        <v>43500.104166666701</v>
      </c>
      <c r="BZ42" s="26">
        <v>1</v>
      </c>
      <c r="CA42" s="26">
        <v>0</v>
      </c>
      <c r="CB42" s="23">
        <v>0</v>
      </c>
      <c r="CC42" s="23"/>
      <c r="CD42" s="23">
        <v>0</v>
      </c>
      <c r="CE42" s="23"/>
      <c r="CF42" s="23">
        <v>0</v>
      </c>
      <c r="CG42" s="23"/>
      <c r="CH42" s="103">
        <v>0</v>
      </c>
      <c r="CI42" s="23">
        <v>1</v>
      </c>
      <c r="CJ42" s="23">
        <v>0</v>
      </c>
      <c r="CK42" s="23">
        <v>0</v>
      </c>
      <c r="CL42" s="23">
        <v>1</v>
      </c>
      <c r="CM42" s="23">
        <v>0</v>
      </c>
      <c r="CN42" s="23">
        <v>0</v>
      </c>
      <c r="CO42" s="23">
        <v>0</v>
      </c>
      <c r="CP42" s="23">
        <v>0</v>
      </c>
      <c r="CQ42" s="23">
        <v>0</v>
      </c>
      <c r="CR42" s="23">
        <v>0</v>
      </c>
      <c r="CS42" s="23">
        <v>0</v>
      </c>
      <c r="CT42" s="23">
        <v>0</v>
      </c>
      <c r="CU42" s="23">
        <v>0</v>
      </c>
      <c r="CV42" s="23">
        <v>0</v>
      </c>
      <c r="CW42" s="23">
        <v>0</v>
      </c>
      <c r="CX42" s="25">
        <v>0</v>
      </c>
      <c r="CY42" s="25">
        <v>3</v>
      </c>
      <c r="CZ42" s="25">
        <v>0</v>
      </c>
      <c r="DA42" s="25">
        <v>3</v>
      </c>
      <c r="DB42" s="25">
        <v>0</v>
      </c>
      <c r="DC42" s="105">
        <v>1</v>
      </c>
      <c r="DD42" s="25">
        <v>0</v>
      </c>
      <c r="DE42" s="105">
        <v>3</v>
      </c>
      <c r="DF42" s="25">
        <v>0</v>
      </c>
      <c r="DG42" s="105">
        <v>3</v>
      </c>
      <c r="DH42" s="26">
        <v>0</v>
      </c>
      <c r="DI42" s="26">
        <v>2</v>
      </c>
      <c r="DJ42" s="10">
        <v>0</v>
      </c>
      <c r="DK42" s="24">
        <v>0</v>
      </c>
      <c r="DL42" s="32">
        <v>0</v>
      </c>
      <c r="DM42" s="32">
        <v>0</v>
      </c>
      <c r="DN42" s="32">
        <v>0</v>
      </c>
      <c r="DO42" s="32">
        <v>0</v>
      </c>
      <c r="DP42" s="32">
        <v>0</v>
      </c>
      <c r="DQ42" s="32">
        <v>0</v>
      </c>
      <c r="DR42" s="32">
        <v>1</v>
      </c>
      <c r="DS42" s="32"/>
      <c r="DT42" s="33"/>
      <c r="DU42" s="33"/>
      <c r="DV42" s="33"/>
      <c r="DW42" s="33">
        <v>0</v>
      </c>
      <c r="DX42" s="33"/>
      <c r="DY42" s="10">
        <v>1.41</v>
      </c>
      <c r="EB42" s="10">
        <v>378</v>
      </c>
      <c r="EH42" s="10">
        <v>150</v>
      </c>
      <c r="EJ42" s="10">
        <v>20</v>
      </c>
      <c r="EL42" s="10">
        <v>8.5</v>
      </c>
      <c r="EN42" s="10">
        <v>2.6</v>
      </c>
      <c r="EO42" s="94">
        <v>0</v>
      </c>
      <c r="EP42" s="10">
        <v>109</v>
      </c>
      <c r="EQ42" s="10">
        <v>8</v>
      </c>
      <c r="ES42" s="10">
        <v>11.7</v>
      </c>
      <c r="ET42" s="10">
        <v>1</v>
      </c>
      <c r="EU42" s="10">
        <v>3</v>
      </c>
      <c r="EV42" s="94"/>
      <c r="EW42" s="10">
        <v>0</v>
      </c>
      <c r="EX42" s="10">
        <v>500</v>
      </c>
      <c r="EY42" s="10">
        <v>15</v>
      </c>
      <c r="EZ42" s="13" t="s">
        <v>673</v>
      </c>
      <c r="FA42" s="10">
        <v>1</v>
      </c>
      <c r="FD42" s="10">
        <v>7.15</v>
      </c>
      <c r="FE42" s="10">
        <v>7.4</v>
      </c>
      <c r="FF42" s="10" t="s">
        <v>610</v>
      </c>
      <c r="FI42" s="10">
        <v>1</v>
      </c>
      <c r="FJ42" s="10">
        <v>1</v>
      </c>
      <c r="FK42" s="10">
        <v>1</v>
      </c>
      <c r="FL42" s="10">
        <v>2</v>
      </c>
      <c r="FM42" s="10">
        <v>1</v>
      </c>
      <c r="FN42" s="10">
        <v>1</v>
      </c>
      <c r="FO42" s="10">
        <v>0</v>
      </c>
      <c r="FP42" s="10">
        <v>0</v>
      </c>
      <c r="FQ42" s="10">
        <v>5</v>
      </c>
      <c r="FR42" s="10">
        <v>2</v>
      </c>
      <c r="FS42" s="10">
        <v>0</v>
      </c>
      <c r="FT42" s="10">
        <v>25</v>
      </c>
      <c r="FU42" s="10">
        <v>2</v>
      </c>
      <c r="FV42" s="10">
        <v>1</v>
      </c>
      <c r="FW42" s="10">
        <v>0</v>
      </c>
      <c r="FX42" s="10">
        <v>0</v>
      </c>
      <c r="FY42" s="10">
        <v>1</v>
      </c>
      <c r="FZ42" s="10">
        <v>3</v>
      </c>
      <c r="GA42" s="10">
        <v>26</v>
      </c>
      <c r="GC42" s="52" t="s">
        <v>249</v>
      </c>
      <c r="GD42" s="10" t="s">
        <v>516</v>
      </c>
    </row>
    <row r="43" spans="1:186" s="10" customFormat="1" ht="15" x14ac:dyDescent="0.2">
      <c r="A43" s="22">
        <v>13431584</v>
      </c>
      <c r="B43" s="22">
        <v>0</v>
      </c>
      <c r="C43" s="29">
        <v>43493</v>
      </c>
      <c r="D43" s="10">
        <v>14</v>
      </c>
      <c r="E43" s="10">
        <v>17</v>
      </c>
      <c r="F43" s="10">
        <v>11</v>
      </c>
      <c r="G43" s="10">
        <f t="shared" si="0"/>
        <v>-3</v>
      </c>
      <c r="H43" s="23">
        <v>0</v>
      </c>
      <c r="I43" s="23">
        <v>0</v>
      </c>
      <c r="J43" s="23">
        <v>57</v>
      </c>
      <c r="K43" s="23">
        <v>0</v>
      </c>
      <c r="L43" s="23">
        <v>0</v>
      </c>
      <c r="M43" s="23">
        <v>1</v>
      </c>
      <c r="N43" s="23"/>
      <c r="O43" s="23">
        <v>3</v>
      </c>
      <c r="P43" s="23">
        <v>0</v>
      </c>
      <c r="Q43" s="23">
        <v>85</v>
      </c>
      <c r="R43" s="23">
        <v>175</v>
      </c>
      <c r="S43" s="34">
        <f t="shared" si="1"/>
        <v>27.755102040816325</v>
      </c>
      <c r="T43" s="10">
        <v>0</v>
      </c>
      <c r="U43" s="23">
        <v>0</v>
      </c>
      <c r="V43" s="23">
        <v>3</v>
      </c>
      <c r="W43" s="38">
        <v>43493.335416666698</v>
      </c>
      <c r="X43" s="38">
        <v>43493.346527777801</v>
      </c>
      <c r="Y43" s="38">
        <v>43493.40625</v>
      </c>
      <c r="Z43" s="38">
        <v>43493.423611111102</v>
      </c>
      <c r="AA43" s="39">
        <f t="shared" si="2"/>
        <v>15.99999998928979</v>
      </c>
      <c r="AB43" s="39">
        <f t="shared" si="3"/>
        <v>85.999999966006726</v>
      </c>
      <c r="AC43" s="39">
        <f t="shared" si="4"/>
        <v>101.99999995529652</v>
      </c>
      <c r="AD43" s="41">
        <v>0</v>
      </c>
      <c r="AE43" s="22">
        <v>1</v>
      </c>
      <c r="AF43" s="22">
        <v>3</v>
      </c>
      <c r="AG43" s="14">
        <v>2</v>
      </c>
      <c r="AH43" s="14">
        <v>2</v>
      </c>
      <c r="AI43" s="23">
        <v>0</v>
      </c>
      <c r="AJ43" s="23">
        <v>0</v>
      </c>
      <c r="AK43" s="23">
        <v>0</v>
      </c>
      <c r="AL43" s="23">
        <v>0</v>
      </c>
      <c r="AM43" s="10">
        <v>5</v>
      </c>
      <c r="AN43" s="10">
        <v>0</v>
      </c>
      <c r="AO43" s="10">
        <v>1000</v>
      </c>
      <c r="AP43" s="94">
        <v>0</v>
      </c>
      <c r="AQ43" s="94">
        <v>0</v>
      </c>
      <c r="AR43" s="94">
        <v>0</v>
      </c>
      <c r="AS43" s="94">
        <v>0</v>
      </c>
      <c r="AT43" s="94">
        <v>0</v>
      </c>
      <c r="AU43" s="94">
        <v>0</v>
      </c>
      <c r="AV43" s="94">
        <v>0</v>
      </c>
      <c r="AW43" s="94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1</v>
      </c>
      <c r="BC43" s="21">
        <v>0</v>
      </c>
      <c r="BD43" s="10">
        <v>1</v>
      </c>
      <c r="BE43" s="10">
        <v>0</v>
      </c>
      <c r="BF43" s="10">
        <v>0</v>
      </c>
      <c r="BG43" s="10">
        <v>1</v>
      </c>
      <c r="BH43" s="10">
        <v>0</v>
      </c>
      <c r="BI43" s="10">
        <v>0</v>
      </c>
      <c r="BJ43" s="10">
        <v>157</v>
      </c>
      <c r="BK43" s="12"/>
      <c r="BM43" s="23">
        <v>1</v>
      </c>
      <c r="BN43" s="23">
        <v>0</v>
      </c>
      <c r="BO43" s="23">
        <v>0</v>
      </c>
      <c r="BP43" s="23">
        <v>1</v>
      </c>
      <c r="BQ43" s="23">
        <v>0</v>
      </c>
      <c r="BR43" s="23">
        <v>0</v>
      </c>
      <c r="BS43" s="23">
        <v>0</v>
      </c>
      <c r="BT43" s="23">
        <v>0</v>
      </c>
      <c r="BU43" s="38">
        <v>43493.444444444402</v>
      </c>
      <c r="BV43" s="38"/>
      <c r="BW43" s="38">
        <v>43493.579861111102</v>
      </c>
      <c r="BX43" s="38">
        <v>43493.609027777798</v>
      </c>
      <c r="BY43" s="38">
        <v>43493.609027777798</v>
      </c>
      <c r="BZ43" s="26">
        <v>0</v>
      </c>
      <c r="CA43" s="26">
        <v>0</v>
      </c>
      <c r="CB43" s="23">
        <v>0</v>
      </c>
      <c r="CC43" s="23"/>
      <c r="CD43" s="23">
        <v>0</v>
      </c>
      <c r="CE43" s="23"/>
      <c r="CF43" s="23">
        <v>0</v>
      </c>
      <c r="CG43" s="23"/>
      <c r="CH43" s="103">
        <v>0</v>
      </c>
      <c r="CI43" s="23">
        <v>1</v>
      </c>
      <c r="CJ43" s="23">
        <v>0</v>
      </c>
      <c r="CK43" s="23">
        <v>0</v>
      </c>
      <c r="CL43" s="23">
        <v>1</v>
      </c>
      <c r="CM43" s="23">
        <v>0</v>
      </c>
      <c r="CN43" s="23">
        <v>0</v>
      </c>
      <c r="CO43" s="23">
        <v>0</v>
      </c>
      <c r="CP43" s="23">
        <v>0</v>
      </c>
      <c r="CQ43" s="23">
        <v>0</v>
      </c>
      <c r="CR43" s="23">
        <v>0</v>
      </c>
      <c r="CS43" s="23">
        <v>0</v>
      </c>
      <c r="CT43" s="23">
        <v>0</v>
      </c>
      <c r="CU43" s="23">
        <v>0</v>
      </c>
      <c r="CV43" s="23">
        <v>0</v>
      </c>
      <c r="CW43" s="23">
        <v>0</v>
      </c>
      <c r="CX43" s="25">
        <v>0</v>
      </c>
      <c r="CY43" s="25">
        <v>2</v>
      </c>
      <c r="CZ43" s="25">
        <v>0</v>
      </c>
      <c r="DA43" s="25">
        <v>2</v>
      </c>
      <c r="DB43" s="105">
        <v>0</v>
      </c>
      <c r="DC43" s="105">
        <v>0</v>
      </c>
      <c r="DD43" s="25">
        <v>0</v>
      </c>
      <c r="DE43" s="105">
        <v>0</v>
      </c>
      <c r="DF43" s="25">
        <v>0</v>
      </c>
      <c r="DG43" s="105">
        <v>0</v>
      </c>
      <c r="DH43" s="103">
        <v>0</v>
      </c>
      <c r="DI43" s="26">
        <v>0</v>
      </c>
      <c r="DJ43" s="10">
        <v>0</v>
      </c>
      <c r="DK43" s="25">
        <v>0</v>
      </c>
      <c r="DL43" s="25">
        <v>0</v>
      </c>
      <c r="DM43" s="25">
        <v>0</v>
      </c>
      <c r="DN43" s="25">
        <v>0</v>
      </c>
      <c r="DO43" s="25">
        <v>0</v>
      </c>
      <c r="DP43" s="25">
        <v>0</v>
      </c>
      <c r="DQ43" s="25">
        <v>0</v>
      </c>
      <c r="DR43" s="25">
        <v>1</v>
      </c>
      <c r="DS43" s="25">
        <v>0</v>
      </c>
      <c r="DT43" s="26">
        <v>1</v>
      </c>
      <c r="DU43" s="26">
        <v>1</v>
      </c>
      <c r="DV43" s="26">
        <v>0</v>
      </c>
      <c r="DW43" s="26">
        <v>0</v>
      </c>
      <c r="DX43" s="26"/>
      <c r="DY43" s="10">
        <v>1.75</v>
      </c>
      <c r="DZ43" s="10">
        <v>1</v>
      </c>
      <c r="EB43" s="10">
        <v>209</v>
      </c>
      <c r="ED43" s="10">
        <v>139</v>
      </c>
      <c r="EE43" s="10">
        <v>10.4</v>
      </c>
      <c r="EF43" s="10">
        <v>104</v>
      </c>
      <c r="EG43" s="10">
        <v>6540</v>
      </c>
      <c r="EH43" s="10">
        <v>1179</v>
      </c>
      <c r="EI43" s="10">
        <v>1176</v>
      </c>
      <c r="EJ43" s="10">
        <v>41</v>
      </c>
      <c r="EK43" s="10">
        <v>0.3</v>
      </c>
      <c r="EL43" s="10">
        <v>8.6999999999999993</v>
      </c>
      <c r="EM43" s="10">
        <v>15.1</v>
      </c>
      <c r="EO43" s="94">
        <v>0</v>
      </c>
      <c r="EP43" s="10">
        <v>87</v>
      </c>
      <c r="EQ43" s="10">
        <v>17</v>
      </c>
      <c r="ES43" s="10">
        <v>15.9</v>
      </c>
      <c r="ET43" s="94"/>
      <c r="EU43" s="94"/>
      <c r="EV43" s="94"/>
      <c r="EW43" s="94"/>
      <c r="EZ43" s="13"/>
      <c r="FD43" s="10">
        <v>7</v>
      </c>
      <c r="FE43" s="10">
        <v>7.38</v>
      </c>
      <c r="FF43" s="10" t="s">
        <v>609</v>
      </c>
      <c r="FL43" s="10">
        <v>2</v>
      </c>
      <c r="FM43" s="10">
        <v>0</v>
      </c>
      <c r="FN43" s="10">
        <v>0</v>
      </c>
      <c r="FO43" s="10">
        <v>0</v>
      </c>
      <c r="FP43" s="10">
        <v>0</v>
      </c>
      <c r="FQ43" s="10">
        <v>4</v>
      </c>
      <c r="FR43" s="10">
        <v>2</v>
      </c>
      <c r="FS43" s="10">
        <v>0</v>
      </c>
      <c r="FU43" s="10">
        <v>1</v>
      </c>
      <c r="FV43" s="10">
        <v>1</v>
      </c>
      <c r="FW43" s="10">
        <v>0</v>
      </c>
      <c r="FX43" s="10">
        <v>0</v>
      </c>
      <c r="FY43" s="10">
        <v>0</v>
      </c>
      <c r="FZ43" s="10">
        <v>5</v>
      </c>
      <c r="GA43" s="10">
        <v>30</v>
      </c>
      <c r="GC43" s="52" t="s">
        <v>243</v>
      </c>
      <c r="GD43" s="10" t="s">
        <v>469</v>
      </c>
    </row>
    <row r="44" spans="1:186" s="10" customFormat="1" ht="15" x14ac:dyDescent="0.2">
      <c r="A44" s="22">
        <v>13426684</v>
      </c>
      <c r="B44" s="22">
        <v>0</v>
      </c>
      <c r="C44" s="29">
        <v>43477</v>
      </c>
      <c r="D44" s="10">
        <v>35</v>
      </c>
      <c r="E44" s="10">
        <v>23</v>
      </c>
      <c r="F44" s="10">
        <v>26</v>
      </c>
      <c r="G44" s="10">
        <f t="shared" si="0"/>
        <v>-9</v>
      </c>
      <c r="H44" s="23">
        <v>0</v>
      </c>
      <c r="I44" s="23">
        <v>0</v>
      </c>
      <c r="J44" s="23">
        <v>45</v>
      </c>
      <c r="K44" s="23">
        <v>1</v>
      </c>
      <c r="L44" s="23">
        <v>0</v>
      </c>
      <c r="M44" s="23">
        <v>1</v>
      </c>
      <c r="N44" s="23"/>
      <c r="O44" s="23">
        <v>6</v>
      </c>
      <c r="P44" s="23">
        <v>0</v>
      </c>
      <c r="Q44" s="23">
        <v>90</v>
      </c>
      <c r="R44" s="23">
        <v>187</v>
      </c>
      <c r="S44" s="34">
        <f t="shared" si="1"/>
        <v>25.737081414967538</v>
      </c>
      <c r="T44" s="10">
        <v>0</v>
      </c>
      <c r="U44" s="23">
        <v>0</v>
      </c>
      <c r="V44" s="23">
        <v>2</v>
      </c>
      <c r="W44" s="38">
        <v>43477.479166666701</v>
      </c>
      <c r="X44" s="38">
        <v>43477.491666666698</v>
      </c>
      <c r="Y44" s="38">
        <v>43477.554861111101</v>
      </c>
      <c r="Z44" s="38">
        <v>43477.5625</v>
      </c>
      <c r="AA44" s="39">
        <f t="shared" si="2"/>
        <v>17.999999995809048</v>
      </c>
      <c r="AB44" s="39">
        <f t="shared" si="3"/>
        <v>90.999999940395355</v>
      </c>
      <c r="AC44" s="39">
        <f t="shared" si="4"/>
        <v>108.9999999362044</v>
      </c>
      <c r="AD44" s="41">
        <v>0</v>
      </c>
      <c r="AE44" s="22">
        <v>1</v>
      </c>
      <c r="AF44" s="22">
        <v>0</v>
      </c>
      <c r="AG44" s="14">
        <v>1</v>
      </c>
      <c r="AH44" s="14">
        <v>1</v>
      </c>
      <c r="AI44" s="23">
        <v>0</v>
      </c>
      <c r="AJ44" s="23">
        <v>0</v>
      </c>
      <c r="AK44" s="23">
        <v>0</v>
      </c>
      <c r="AL44" s="23">
        <v>0</v>
      </c>
      <c r="AM44" s="10">
        <v>9</v>
      </c>
      <c r="AO44" s="94"/>
      <c r="AP44" s="10">
        <v>0</v>
      </c>
      <c r="AQ44" s="10">
        <v>0</v>
      </c>
      <c r="AR44" s="10">
        <v>1</v>
      </c>
      <c r="AS44" s="10">
        <v>0</v>
      </c>
      <c r="AT44" s="10">
        <v>1</v>
      </c>
      <c r="AU44" s="10">
        <v>0</v>
      </c>
      <c r="AV44" s="10">
        <v>0</v>
      </c>
      <c r="AW44" s="10">
        <v>1</v>
      </c>
      <c r="AX44" s="10">
        <v>7</v>
      </c>
      <c r="AY44" s="10">
        <v>0</v>
      </c>
      <c r="AZ44" s="10">
        <v>0</v>
      </c>
      <c r="BA44" s="10">
        <v>0</v>
      </c>
      <c r="BB44" s="10">
        <v>3</v>
      </c>
      <c r="BC44" s="21">
        <v>0</v>
      </c>
      <c r="BD44" s="10">
        <v>0</v>
      </c>
      <c r="BE44" s="10">
        <v>0</v>
      </c>
      <c r="BF44" s="10">
        <v>0</v>
      </c>
      <c r="BG44" s="10">
        <v>0</v>
      </c>
      <c r="BH44" s="94"/>
      <c r="BI44" s="94"/>
      <c r="BJ44" s="10">
        <v>162</v>
      </c>
      <c r="BK44" s="12">
        <v>1170</v>
      </c>
      <c r="BL44" s="10">
        <v>1025</v>
      </c>
      <c r="BM44" s="23">
        <v>1</v>
      </c>
      <c r="BN44" s="23">
        <v>0</v>
      </c>
      <c r="BO44" s="23">
        <v>0</v>
      </c>
      <c r="BP44" s="23">
        <v>1</v>
      </c>
      <c r="BQ44" s="23">
        <v>0</v>
      </c>
      <c r="BR44" s="23">
        <v>1</v>
      </c>
      <c r="BS44" s="23">
        <v>0</v>
      </c>
      <c r="BT44" s="23">
        <v>1</v>
      </c>
      <c r="BU44" s="38">
        <v>43477.584722222222</v>
      </c>
      <c r="BV44" s="46">
        <v>43477.618750000001</v>
      </c>
      <c r="BW44" s="38">
        <v>43477.6875</v>
      </c>
      <c r="BX44" s="38">
        <v>43477.715277777803</v>
      </c>
      <c r="BY44" s="38">
        <v>43477.715277777803</v>
      </c>
      <c r="BZ44" s="26">
        <v>0</v>
      </c>
      <c r="CA44" s="26">
        <v>0</v>
      </c>
      <c r="CB44" s="23">
        <v>1</v>
      </c>
      <c r="CC44" s="23">
        <v>0</v>
      </c>
      <c r="CD44" s="23">
        <v>1</v>
      </c>
      <c r="CE44" s="23">
        <v>0</v>
      </c>
      <c r="CF44" s="23">
        <v>0</v>
      </c>
      <c r="CG44" s="23"/>
      <c r="CH44" s="103">
        <v>1</v>
      </c>
      <c r="CI44" s="23">
        <v>1</v>
      </c>
      <c r="CJ44" s="23">
        <v>1</v>
      </c>
      <c r="CK44" s="23">
        <v>1</v>
      </c>
      <c r="CL44" s="23">
        <v>1</v>
      </c>
      <c r="CM44" s="23">
        <v>1</v>
      </c>
      <c r="CN44" s="23">
        <v>1</v>
      </c>
      <c r="CO44" s="23">
        <v>1</v>
      </c>
      <c r="CP44" s="23">
        <v>0</v>
      </c>
      <c r="CQ44" s="23">
        <v>0</v>
      </c>
      <c r="CR44" s="23">
        <v>1</v>
      </c>
      <c r="CS44" s="23">
        <v>0</v>
      </c>
      <c r="CT44" s="23">
        <v>0</v>
      </c>
      <c r="CU44" s="23">
        <v>0</v>
      </c>
      <c r="CV44" s="23">
        <v>0</v>
      </c>
      <c r="CW44" s="23">
        <v>0</v>
      </c>
      <c r="CX44" s="25">
        <v>0</v>
      </c>
      <c r="CY44" s="25">
        <v>0</v>
      </c>
      <c r="CZ44" s="25">
        <v>0</v>
      </c>
      <c r="DA44" s="25">
        <v>0</v>
      </c>
      <c r="DB44" s="25">
        <v>0</v>
      </c>
      <c r="DC44" s="105">
        <v>2</v>
      </c>
      <c r="DD44" s="25">
        <v>1</v>
      </c>
      <c r="DE44" s="25"/>
      <c r="DF44" s="25">
        <v>1</v>
      </c>
      <c r="DG44" s="105"/>
      <c r="DH44" s="26">
        <v>2</v>
      </c>
      <c r="DI44" s="26">
        <v>2</v>
      </c>
      <c r="DJ44" s="10">
        <v>0</v>
      </c>
      <c r="DK44" s="25">
        <v>0</v>
      </c>
      <c r="DL44" s="25">
        <v>0</v>
      </c>
      <c r="DM44" s="25">
        <v>0</v>
      </c>
      <c r="DN44" s="25">
        <v>0</v>
      </c>
      <c r="DO44" s="25">
        <v>0</v>
      </c>
      <c r="DP44" s="25">
        <v>0</v>
      </c>
      <c r="DQ44" s="25">
        <v>0</v>
      </c>
      <c r="DR44" s="25">
        <v>1</v>
      </c>
      <c r="DS44" s="25">
        <v>0</v>
      </c>
      <c r="DT44" s="26">
        <v>1</v>
      </c>
      <c r="DU44" s="26">
        <v>1</v>
      </c>
      <c r="DV44" s="26">
        <v>0</v>
      </c>
      <c r="DW44" s="26">
        <v>0</v>
      </c>
      <c r="DX44" s="26"/>
      <c r="DY44" s="10">
        <v>1.28</v>
      </c>
      <c r="EA44" s="10">
        <v>174</v>
      </c>
      <c r="EB44" s="10">
        <v>340</v>
      </c>
      <c r="ED44" s="10">
        <v>136</v>
      </c>
      <c r="EE44" s="10">
        <v>4.9000000000000004</v>
      </c>
      <c r="EF44" s="10">
        <v>105</v>
      </c>
      <c r="EG44" s="10">
        <v>2223</v>
      </c>
      <c r="EH44" s="10">
        <v>483</v>
      </c>
      <c r="EI44" s="10">
        <v>377</v>
      </c>
      <c r="EJ44" s="10">
        <v>35</v>
      </c>
      <c r="EK44" s="10">
        <v>0.4</v>
      </c>
      <c r="EL44" s="10">
        <v>8.9</v>
      </c>
      <c r="EM44" s="10">
        <v>9.8000000000000007</v>
      </c>
      <c r="EO44" s="94">
        <v>1</v>
      </c>
      <c r="EP44" s="10">
        <v>70</v>
      </c>
      <c r="EQ44" s="10">
        <v>24</v>
      </c>
      <c r="ES44" s="10">
        <v>8.4</v>
      </c>
      <c r="ET44" s="94"/>
      <c r="EU44" s="94"/>
      <c r="EV44" s="94"/>
      <c r="EW44" s="94"/>
      <c r="EZ44" s="13"/>
      <c r="FA44" s="10">
        <v>1</v>
      </c>
      <c r="FD44" s="10">
        <v>7.35</v>
      </c>
      <c r="FE44" s="10">
        <v>7.44</v>
      </c>
      <c r="FF44" s="10" t="s">
        <v>608</v>
      </c>
      <c r="FI44" s="10">
        <v>1</v>
      </c>
      <c r="FJ44" s="10">
        <v>1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1</v>
      </c>
      <c r="FQ44" s="10">
        <v>3</v>
      </c>
      <c r="FR44" s="10">
        <v>3</v>
      </c>
      <c r="FS44" s="10">
        <v>2</v>
      </c>
      <c r="FU44" s="10">
        <v>1</v>
      </c>
      <c r="FV44" s="10">
        <v>1</v>
      </c>
      <c r="FW44" s="10">
        <v>0</v>
      </c>
      <c r="FX44" s="10">
        <v>0</v>
      </c>
      <c r="FY44" s="10">
        <v>1</v>
      </c>
      <c r="FZ44" s="10">
        <v>2</v>
      </c>
      <c r="GA44" s="10">
        <v>75</v>
      </c>
      <c r="GC44" s="52"/>
      <c r="GD44" s="10" t="s">
        <v>566</v>
      </c>
    </row>
    <row r="45" spans="1:186" s="10" customFormat="1" ht="15" x14ac:dyDescent="0.2">
      <c r="A45" s="22">
        <v>13425601</v>
      </c>
      <c r="B45" s="22">
        <v>0</v>
      </c>
      <c r="C45" s="29">
        <v>43474</v>
      </c>
      <c r="D45" s="10">
        <v>16</v>
      </c>
      <c r="E45" s="10">
        <v>10</v>
      </c>
      <c r="F45" s="10">
        <v>34</v>
      </c>
      <c r="G45" s="10">
        <f t="shared" si="0"/>
        <v>18</v>
      </c>
      <c r="H45" s="23">
        <v>0</v>
      </c>
      <c r="I45" s="23">
        <v>0</v>
      </c>
      <c r="J45" s="23">
        <v>50</v>
      </c>
      <c r="K45" s="23">
        <v>1</v>
      </c>
      <c r="L45" s="23">
        <v>0</v>
      </c>
      <c r="M45" s="23">
        <v>1</v>
      </c>
      <c r="N45" s="23"/>
      <c r="O45" s="23">
        <v>3</v>
      </c>
      <c r="P45" s="23">
        <v>0</v>
      </c>
      <c r="Q45" s="23">
        <v>75</v>
      </c>
      <c r="R45" s="23">
        <v>178</v>
      </c>
      <c r="S45" s="34">
        <f t="shared" si="1"/>
        <v>23.671253629592222</v>
      </c>
      <c r="T45" s="10">
        <v>0</v>
      </c>
      <c r="U45" s="23">
        <v>0</v>
      </c>
      <c r="V45" s="23">
        <v>3</v>
      </c>
      <c r="W45" s="38">
        <v>43473.795138888898</v>
      </c>
      <c r="X45" s="38">
        <v>43473.805555555598</v>
      </c>
      <c r="Y45" s="38">
        <v>43473.854166666701</v>
      </c>
      <c r="Z45" s="38">
        <v>43473.868055555598</v>
      </c>
      <c r="AA45" s="39">
        <f t="shared" si="2"/>
        <v>15.000000048894435</v>
      </c>
      <c r="AB45" s="39">
        <f t="shared" si="3"/>
        <v>69.999999987194315</v>
      </c>
      <c r="AC45" s="39">
        <f t="shared" si="4"/>
        <v>85.00000003608875</v>
      </c>
      <c r="AD45" s="41">
        <v>0</v>
      </c>
      <c r="AE45" s="22">
        <v>1</v>
      </c>
      <c r="AF45" s="22">
        <v>6</v>
      </c>
      <c r="AG45" s="14">
        <v>1</v>
      </c>
      <c r="AH45" s="14">
        <v>1</v>
      </c>
      <c r="AI45" s="23">
        <v>0</v>
      </c>
      <c r="AJ45" s="23">
        <v>0</v>
      </c>
      <c r="AK45" s="23">
        <v>0</v>
      </c>
      <c r="AL45" s="23">
        <v>0</v>
      </c>
      <c r="AM45" s="10">
        <v>6</v>
      </c>
      <c r="AN45" s="10">
        <v>1</v>
      </c>
      <c r="AO45" s="10">
        <v>250</v>
      </c>
      <c r="AP45" s="94">
        <v>0</v>
      </c>
      <c r="AQ45" s="94">
        <v>0</v>
      </c>
      <c r="AR45" s="94">
        <v>0</v>
      </c>
      <c r="AS45" s="94">
        <v>0</v>
      </c>
      <c r="AT45" s="94">
        <v>0</v>
      </c>
      <c r="AU45" s="94">
        <v>0</v>
      </c>
      <c r="AV45" s="94">
        <v>0</v>
      </c>
      <c r="AW45" s="94">
        <v>0</v>
      </c>
      <c r="AX45" s="10">
        <v>9</v>
      </c>
      <c r="AY45" s="10">
        <v>1</v>
      </c>
      <c r="AZ45" s="10">
        <v>4</v>
      </c>
      <c r="BA45" s="10">
        <v>0</v>
      </c>
      <c r="BB45" s="10">
        <v>3</v>
      </c>
      <c r="BC45" s="21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141</v>
      </c>
      <c r="BK45" s="12"/>
      <c r="BM45" s="23">
        <v>1</v>
      </c>
      <c r="BN45" s="23">
        <v>0</v>
      </c>
      <c r="BO45" s="23">
        <v>0</v>
      </c>
      <c r="BP45" s="23">
        <v>1</v>
      </c>
      <c r="BQ45" s="23">
        <v>0</v>
      </c>
      <c r="BR45" s="23">
        <v>0</v>
      </c>
      <c r="BS45" s="23">
        <v>0</v>
      </c>
      <c r="BT45" s="23">
        <v>0</v>
      </c>
      <c r="BU45" s="38">
        <v>43473.8930555556</v>
      </c>
      <c r="BV45" s="38">
        <v>43474.027777777803</v>
      </c>
      <c r="BW45" s="38">
        <v>43474</v>
      </c>
      <c r="BX45" s="38">
        <v>43474.052083333299</v>
      </c>
      <c r="BY45" s="38">
        <v>43474.027777777803</v>
      </c>
      <c r="BZ45" s="26">
        <v>0</v>
      </c>
      <c r="CA45" s="26">
        <v>0</v>
      </c>
      <c r="CB45" s="23">
        <v>0</v>
      </c>
      <c r="CC45" s="23"/>
      <c r="CD45" s="23">
        <v>0</v>
      </c>
      <c r="CE45" s="23"/>
      <c r="CF45" s="23">
        <v>0</v>
      </c>
      <c r="CG45" s="23"/>
      <c r="CH45" s="103">
        <v>0</v>
      </c>
      <c r="CI45" s="23">
        <v>1</v>
      </c>
      <c r="CJ45" s="23">
        <v>0</v>
      </c>
      <c r="CK45" s="23">
        <v>0</v>
      </c>
      <c r="CL45" s="23">
        <v>1</v>
      </c>
      <c r="CM45" s="23">
        <v>0</v>
      </c>
      <c r="CN45" s="23">
        <v>0</v>
      </c>
      <c r="CO45" s="23">
        <v>0</v>
      </c>
      <c r="CP45" s="23">
        <v>0</v>
      </c>
      <c r="CQ45" s="23">
        <v>0</v>
      </c>
      <c r="CR45" s="23">
        <v>0</v>
      </c>
      <c r="CS45" s="23">
        <v>0</v>
      </c>
      <c r="CT45" s="23">
        <v>0</v>
      </c>
      <c r="CU45" s="23">
        <v>0</v>
      </c>
      <c r="CV45" s="23">
        <v>0</v>
      </c>
      <c r="CW45" s="23">
        <v>0</v>
      </c>
      <c r="CX45" s="25">
        <v>0</v>
      </c>
      <c r="CY45" s="25">
        <v>2</v>
      </c>
      <c r="CZ45" s="25">
        <v>0</v>
      </c>
      <c r="DA45" s="25">
        <v>2</v>
      </c>
      <c r="DB45" s="25">
        <v>0</v>
      </c>
      <c r="DC45" s="25">
        <v>4</v>
      </c>
      <c r="DD45" s="25">
        <v>0</v>
      </c>
      <c r="DE45" s="105">
        <v>0</v>
      </c>
      <c r="DF45" s="25">
        <v>0</v>
      </c>
      <c r="DG45" s="105">
        <v>0</v>
      </c>
      <c r="DH45" s="26">
        <v>0</v>
      </c>
      <c r="DI45" s="26">
        <v>2</v>
      </c>
      <c r="DJ45" s="10">
        <v>0</v>
      </c>
      <c r="DK45" s="25">
        <v>0</v>
      </c>
      <c r="DL45" s="25">
        <v>0</v>
      </c>
      <c r="DM45" s="25">
        <v>0</v>
      </c>
      <c r="DN45" s="25">
        <v>0</v>
      </c>
      <c r="DO45" s="25">
        <v>0</v>
      </c>
      <c r="DP45" s="25">
        <v>0</v>
      </c>
      <c r="DQ45" s="25">
        <v>1</v>
      </c>
      <c r="DR45" s="25">
        <v>0</v>
      </c>
      <c r="DS45" s="25">
        <v>0</v>
      </c>
      <c r="DT45" s="26">
        <v>1</v>
      </c>
      <c r="DU45" s="26">
        <v>0</v>
      </c>
      <c r="DV45" s="26">
        <v>0</v>
      </c>
      <c r="DW45" s="26">
        <v>0</v>
      </c>
      <c r="DX45" s="26"/>
      <c r="DY45" s="10">
        <v>1.69</v>
      </c>
      <c r="DZ45" s="10">
        <v>0.92</v>
      </c>
      <c r="EB45" s="10">
        <v>405</v>
      </c>
      <c r="ED45" s="10">
        <v>135</v>
      </c>
      <c r="EE45" s="10">
        <v>4.2</v>
      </c>
      <c r="EF45" s="10">
        <v>96</v>
      </c>
      <c r="EG45" s="10">
        <v>1129</v>
      </c>
      <c r="EH45" s="10">
        <v>112</v>
      </c>
      <c r="EI45" s="10">
        <v>131</v>
      </c>
      <c r="EJ45" s="10">
        <v>48</v>
      </c>
      <c r="EL45" s="10">
        <v>9.4</v>
      </c>
      <c r="EM45" s="10">
        <v>14.1</v>
      </c>
      <c r="EN45" s="10">
        <v>3.4</v>
      </c>
      <c r="EO45" s="94">
        <v>0</v>
      </c>
      <c r="EP45" s="10">
        <v>84</v>
      </c>
      <c r="EQ45" s="10">
        <v>16</v>
      </c>
      <c r="ES45" s="10">
        <v>13.4</v>
      </c>
      <c r="ET45" s="10">
        <v>1</v>
      </c>
      <c r="EU45" s="10">
        <v>0</v>
      </c>
      <c r="EV45" s="10">
        <v>8</v>
      </c>
      <c r="EW45" s="10">
        <v>0</v>
      </c>
      <c r="EX45" s="10">
        <v>500</v>
      </c>
      <c r="EY45" s="10">
        <v>10</v>
      </c>
      <c r="EZ45" s="13" t="s">
        <v>673</v>
      </c>
      <c r="FA45" s="10">
        <v>1</v>
      </c>
      <c r="FD45" s="10">
        <v>7.18</v>
      </c>
      <c r="FE45" s="10">
        <v>7.29</v>
      </c>
      <c r="FF45" s="10" t="s">
        <v>607</v>
      </c>
      <c r="FI45" s="10">
        <v>1</v>
      </c>
      <c r="FJ45" s="10">
        <v>1</v>
      </c>
      <c r="FK45" s="10">
        <v>0</v>
      </c>
      <c r="FL45" s="10">
        <v>0</v>
      </c>
      <c r="FQ45" s="10">
        <v>6</v>
      </c>
      <c r="FR45" s="10">
        <v>3</v>
      </c>
      <c r="FS45" s="10">
        <v>0</v>
      </c>
      <c r="FU45" s="10">
        <v>2</v>
      </c>
      <c r="FV45" s="10">
        <v>1</v>
      </c>
      <c r="FW45" s="10">
        <v>0</v>
      </c>
      <c r="FX45" s="10">
        <v>0</v>
      </c>
      <c r="FY45" s="10">
        <v>2</v>
      </c>
      <c r="FZ45" s="10">
        <v>0</v>
      </c>
      <c r="GA45" s="10">
        <v>45</v>
      </c>
      <c r="GC45" s="52" t="s">
        <v>250</v>
      </c>
      <c r="GD45" s="10" t="s">
        <v>606</v>
      </c>
    </row>
    <row r="46" spans="1:186" s="10" customFormat="1" ht="15" x14ac:dyDescent="0.2">
      <c r="A46" s="22">
        <v>13424724</v>
      </c>
      <c r="B46" s="22">
        <v>0</v>
      </c>
      <c r="C46" s="29">
        <v>43467</v>
      </c>
      <c r="D46" s="10">
        <v>18</v>
      </c>
      <c r="E46" s="10">
        <v>51</v>
      </c>
      <c r="F46" s="10">
        <v>48</v>
      </c>
      <c r="G46" s="10">
        <f t="shared" si="0"/>
        <v>30</v>
      </c>
      <c r="H46" s="23">
        <v>0</v>
      </c>
      <c r="I46" s="23">
        <v>0</v>
      </c>
      <c r="J46" s="23">
        <v>38</v>
      </c>
      <c r="K46" s="23">
        <v>1</v>
      </c>
      <c r="L46" s="23">
        <v>1</v>
      </c>
      <c r="M46" s="23">
        <v>1</v>
      </c>
      <c r="N46" s="23"/>
      <c r="O46" s="23">
        <v>0</v>
      </c>
      <c r="P46" s="23">
        <v>0</v>
      </c>
      <c r="Q46" s="23">
        <v>70</v>
      </c>
      <c r="R46" s="23">
        <v>160</v>
      </c>
      <c r="S46" s="34">
        <f t="shared" si="1"/>
        <v>27.343749999999996</v>
      </c>
      <c r="T46" s="10">
        <v>0</v>
      </c>
      <c r="U46" s="23">
        <v>0</v>
      </c>
      <c r="V46" s="23">
        <v>0</v>
      </c>
      <c r="W46" s="38">
        <v>43467.039583333302</v>
      </c>
      <c r="X46" s="38">
        <v>43467.039583333302</v>
      </c>
      <c r="Y46" s="38">
        <v>43467.106249999997</v>
      </c>
      <c r="Z46" s="38">
        <v>43467.118750000001</v>
      </c>
      <c r="AA46" s="39">
        <f t="shared" si="2"/>
        <v>0</v>
      </c>
      <c r="AB46" s="39">
        <f t="shared" si="3"/>
        <v>96.000000040512532</v>
      </c>
      <c r="AC46" s="39">
        <f t="shared" si="4"/>
        <v>96.000000040512532</v>
      </c>
      <c r="AD46" s="41">
        <v>1</v>
      </c>
      <c r="AE46" s="22">
        <v>2</v>
      </c>
      <c r="AF46" s="22"/>
      <c r="AG46" s="14">
        <v>4</v>
      </c>
      <c r="AH46" s="14">
        <v>1</v>
      </c>
      <c r="AI46" s="23">
        <v>0</v>
      </c>
      <c r="AJ46" s="23">
        <v>0</v>
      </c>
      <c r="AK46" s="23">
        <v>0</v>
      </c>
      <c r="AL46" s="23">
        <v>0</v>
      </c>
      <c r="AM46" s="10">
        <v>17</v>
      </c>
      <c r="AN46" s="10">
        <v>0</v>
      </c>
      <c r="AO46" s="10">
        <v>3000</v>
      </c>
      <c r="AP46" s="10">
        <v>0</v>
      </c>
      <c r="AQ46" s="10">
        <v>1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1</v>
      </c>
      <c r="AX46" s="10">
        <v>0</v>
      </c>
      <c r="AY46" s="10">
        <v>0</v>
      </c>
      <c r="AZ46" s="10">
        <v>0</v>
      </c>
      <c r="BA46" s="10">
        <v>0</v>
      </c>
      <c r="BB46" s="10">
        <v>1</v>
      </c>
      <c r="BC46" s="21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132</v>
      </c>
      <c r="BK46" s="12"/>
      <c r="BM46" s="23">
        <v>1</v>
      </c>
      <c r="BN46" s="23">
        <v>0</v>
      </c>
      <c r="BO46" s="23">
        <v>0</v>
      </c>
      <c r="BP46" s="23">
        <v>1</v>
      </c>
      <c r="BQ46" s="23">
        <v>0</v>
      </c>
      <c r="BR46" s="23">
        <v>0</v>
      </c>
      <c r="BS46" s="23">
        <v>0</v>
      </c>
      <c r="BT46" s="23">
        <v>0</v>
      </c>
      <c r="BU46" s="38">
        <v>43467.1430555556</v>
      </c>
      <c r="BV46" s="46"/>
      <c r="BW46" s="38">
        <v>43467.208333333299</v>
      </c>
      <c r="BX46" s="38">
        <v>43467.265972222202</v>
      </c>
      <c r="BY46" s="38">
        <v>43467.265972222202</v>
      </c>
      <c r="BZ46" s="26">
        <v>0</v>
      </c>
      <c r="CA46" s="26">
        <v>0</v>
      </c>
      <c r="CB46" s="23">
        <v>0</v>
      </c>
      <c r="CC46" s="23"/>
      <c r="CD46" s="23">
        <v>0</v>
      </c>
      <c r="CE46" s="23"/>
      <c r="CF46" s="23">
        <v>0</v>
      </c>
      <c r="CG46" s="23"/>
      <c r="CH46" s="103">
        <v>0</v>
      </c>
      <c r="CI46" s="23">
        <v>1</v>
      </c>
      <c r="CJ46" s="23">
        <v>0</v>
      </c>
      <c r="CK46" s="23">
        <v>0</v>
      </c>
      <c r="CL46" s="23">
        <v>1</v>
      </c>
      <c r="CM46" s="23">
        <v>0</v>
      </c>
      <c r="CN46" s="23">
        <v>0</v>
      </c>
      <c r="CO46" s="23">
        <v>0</v>
      </c>
      <c r="CP46" s="23">
        <v>0</v>
      </c>
      <c r="CQ46" s="23">
        <v>0</v>
      </c>
      <c r="CR46" s="23">
        <v>0</v>
      </c>
      <c r="CS46" s="23">
        <v>0</v>
      </c>
      <c r="CT46" s="23">
        <v>0</v>
      </c>
      <c r="CU46" s="23">
        <v>0</v>
      </c>
      <c r="CV46" s="23">
        <v>0</v>
      </c>
      <c r="CW46" s="23">
        <v>0</v>
      </c>
      <c r="CX46" s="25">
        <v>0</v>
      </c>
      <c r="CY46" s="25">
        <v>2</v>
      </c>
      <c r="CZ46" s="25">
        <v>0</v>
      </c>
      <c r="DA46" s="25">
        <v>2</v>
      </c>
      <c r="DB46" s="25">
        <v>0</v>
      </c>
      <c r="DC46" s="105"/>
      <c r="DD46" s="25">
        <v>0</v>
      </c>
      <c r="DE46" s="105">
        <v>0</v>
      </c>
      <c r="DF46" s="25">
        <v>0</v>
      </c>
      <c r="DG46" s="105">
        <v>0</v>
      </c>
      <c r="DH46" s="26">
        <v>0</v>
      </c>
      <c r="DI46" s="26">
        <v>2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1</v>
      </c>
      <c r="DW46" s="10">
        <v>0</v>
      </c>
      <c r="DY46" s="10">
        <v>1.67</v>
      </c>
      <c r="EB46" s="10">
        <v>558</v>
      </c>
      <c r="ED46" s="10">
        <v>152</v>
      </c>
      <c r="EE46" s="10">
        <v>7.1</v>
      </c>
      <c r="EF46" s="10">
        <v>106</v>
      </c>
      <c r="EG46" s="10">
        <v>1875</v>
      </c>
      <c r="EH46" s="10">
        <v>457</v>
      </c>
      <c r="EI46" s="10">
        <v>420</v>
      </c>
      <c r="EJ46" s="10">
        <v>132</v>
      </c>
      <c r="EK46" s="10">
        <v>0</v>
      </c>
      <c r="EL46" s="10">
        <v>8.1</v>
      </c>
      <c r="EM46" s="10">
        <v>15.5</v>
      </c>
      <c r="EN46" s="10">
        <v>2.9</v>
      </c>
      <c r="EO46" s="94">
        <v>0</v>
      </c>
      <c r="EP46" s="94">
        <v>127</v>
      </c>
      <c r="EQ46" s="10">
        <v>13</v>
      </c>
      <c r="ES46" s="94" t="s">
        <v>873</v>
      </c>
      <c r="ET46" s="94"/>
      <c r="EU46" s="10">
        <v>0</v>
      </c>
      <c r="EV46" s="10">
        <v>8</v>
      </c>
      <c r="EW46" s="94"/>
      <c r="EX46" s="10">
        <v>150</v>
      </c>
      <c r="EY46" s="10">
        <v>25</v>
      </c>
      <c r="EZ46" s="13"/>
      <c r="FA46" s="10">
        <v>0</v>
      </c>
      <c r="FD46" s="10">
        <v>7.35</v>
      </c>
      <c r="FE46" s="10">
        <v>7.43</v>
      </c>
      <c r="FF46" s="10" t="s">
        <v>568</v>
      </c>
      <c r="FI46" s="10">
        <v>1</v>
      </c>
      <c r="FJ46" s="10">
        <v>1</v>
      </c>
      <c r="FK46" s="10">
        <v>1</v>
      </c>
      <c r="FL46" s="10">
        <v>0</v>
      </c>
      <c r="FM46" s="10">
        <v>1</v>
      </c>
      <c r="FN46" s="10">
        <v>1</v>
      </c>
      <c r="FO46" s="10">
        <v>0</v>
      </c>
      <c r="FP46" s="10">
        <v>0</v>
      </c>
      <c r="FQ46" s="10">
        <v>2</v>
      </c>
      <c r="FR46" s="10">
        <v>1</v>
      </c>
      <c r="FS46" s="10">
        <v>0</v>
      </c>
      <c r="FU46" s="10">
        <v>1</v>
      </c>
      <c r="FV46" s="10">
        <v>0</v>
      </c>
      <c r="FW46" s="10">
        <v>0</v>
      </c>
      <c r="FX46" s="10">
        <v>0</v>
      </c>
      <c r="FY46" s="10">
        <v>1</v>
      </c>
      <c r="FZ46" s="10">
        <v>4</v>
      </c>
      <c r="GA46" s="10">
        <v>30</v>
      </c>
      <c r="GC46" s="52" t="s">
        <v>243</v>
      </c>
      <c r="GD46" s="10" t="s">
        <v>567</v>
      </c>
    </row>
    <row r="47" spans="1:186" s="10" customFormat="1" ht="15" x14ac:dyDescent="0.2">
      <c r="A47" s="23">
        <v>13424713</v>
      </c>
      <c r="B47" s="22">
        <v>0</v>
      </c>
      <c r="C47" s="29">
        <v>43463</v>
      </c>
      <c r="D47" s="10">
        <v>53</v>
      </c>
      <c r="E47" s="10">
        <v>100</v>
      </c>
      <c r="F47" s="10">
        <v>26</v>
      </c>
      <c r="G47" s="10">
        <f t="shared" si="0"/>
        <v>-27</v>
      </c>
      <c r="H47" s="16">
        <v>0</v>
      </c>
      <c r="I47" s="16">
        <v>0</v>
      </c>
      <c r="J47" s="23">
        <v>48</v>
      </c>
      <c r="K47" s="23">
        <v>0</v>
      </c>
      <c r="L47" s="23">
        <v>0</v>
      </c>
      <c r="M47" s="23">
        <v>1</v>
      </c>
      <c r="N47" s="23"/>
      <c r="O47" s="23">
        <v>2</v>
      </c>
      <c r="P47" s="97"/>
      <c r="Q47" s="23">
        <v>85</v>
      </c>
      <c r="R47" s="23">
        <v>175</v>
      </c>
      <c r="S47" s="34">
        <f t="shared" si="1"/>
        <v>27.755102040816325</v>
      </c>
      <c r="T47" s="10">
        <v>0</v>
      </c>
      <c r="U47" s="23">
        <v>0</v>
      </c>
      <c r="V47" s="23">
        <v>2</v>
      </c>
      <c r="W47" s="38">
        <v>43463.048611111102</v>
      </c>
      <c r="X47" s="38">
        <v>43463.055555555598</v>
      </c>
      <c r="Y47" s="38">
        <v>43463.119444444397</v>
      </c>
      <c r="Z47" s="38">
        <v>43463.131944444402</v>
      </c>
      <c r="AA47" s="39">
        <f t="shared" si="2"/>
        <v>10.000000074505806</v>
      </c>
      <c r="AB47" s="39">
        <f t="shared" si="3"/>
        <v>91.999999870313331</v>
      </c>
      <c r="AC47" s="39">
        <f t="shared" si="4"/>
        <v>101.99999994481914</v>
      </c>
      <c r="AD47" s="41">
        <v>0</v>
      </c>
      <c r="AE47" s="22">
        <v>1</v>
      </c>
      <c r="AF47" s="22">
        <v>3</v>
      </c>
      <c r="AG47" s="99">
        <v>1</v>
      </c>
      <c r="AH47" s="11">
        <v>1</v>
      </c>
      <c r="AI47" s="23">
        <v>0</v>
      </c>
      <c r="AJ47" s="23">
        <v>0</v>
      </c>
      <c r="AK47" s="23">
        <v>0</v>
      </c>
      <c r="AL47" s="23">
        <v>0</v>
      </c>
      <c r="AM47" s="10">
        <v>5</v>
      </c>
      <c r="AN47" s="10">
        <v>0</v>
      </c>
      <c r="AO47" s="10">
        <v>750</v>
      </c>
      <c r="AP47" s="10">
        <v>0</v>
      </c>
      <c r="AQ47" s="10">
        <v>1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1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94"/>
      <c r="BI47" s="94"/>
      <c r="BJ47" s="10">
        <v>147</v>
      </c>
      <c r="BK47" s="12"/>
      <c r="BM47" s="23">
        <v>1</v>
      </c>
      <c r="BN47" s="23">
        <v>0</v>
      </c>
      <c r="BO47" s="23">
        <v>0</v>
      </c>
      <c r="BP47" s="23">
        <v>0</v>
      </c>
      <c r="BQ47" s="23">
        <v>0</v>
      </c>
      <c r="BR47" s="23">
        <v>0</v>
      </c>
      <c r="BS47" s="23">
        <v>0</v>
      </c>
      <c r="BT47" s="96"/>
      <c r="BU47" s="38">
        <v>43463.150694444397</v>
      </c>
      <c r="BV47" s="38">
        <v>43463.295138888898</v>
      </c>
      <c r="BW47" s="38">
        <v>43463.246527777803</v>
      </c>
      <c r="BX47" s="38">
        <v>43463.295138888898</v>
      </c>
      <c r="BY47" s="38">
        <v>43463.295138888898</v>
      </c>
      <c r="BZ47" s="26">
        <v>0</v>
      </c>
      <c r="CA47" s="26">
        <v>0</v>
      </c>
      <c r="CB47" s="23">
        <v>1</v>
      </c>
      <c r="CC47" s="23">
        <v>0</v>
      </c>
      <c r="CD47" s="23">
        <v>1</v>
      </c>
      <c r="CE47" s="23">
        <v>0</v>
      </c>
      <c r="CF47" s="23">
        <v>0</v>
      </c>
      <c r="CG47" s="23"/>
      <c r="CH47" s="103">
        <v>0</v>
      </c>
      <c r="CI47" s="16">
        <v>1</v>
      </c>
      <c r="CJ47" s="16">
        <v>0</v>
      </c>
      <c r="CK47" s="16">
        <v>0</v>
      </c>
      <c r="CL47" s="16">
        <v>1</v>
      </c>
      <c r="CM47" s="16">
        <v>1</v>
      </c>
      <c r="CN47" s="16">
        <v>1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25">
        <v>0</v>
      </c>
      <c r="CY47" s="25">
        <v>2</v>
      </c>
      <c r="CZ47" s="25">
        <v>0</v>
      </c>
      <c r="DA47" s="25">
        <v>2</v>
      </c>
      <c r="DB47" s="25">
        <v>0</v>
      </c>
      <c r="DC47" s="25">
        <v>4</v>
      </c>
      <c r="DD47" s="25">
        <v>1</v>
      </c>
      <c r="DE47" s="105"/>
      <c r="DF47" s="25">
        <v>0</v>
      </c>
      <c r="DG47" s="105">
        <v>5</v>
      </c>
      <c r="DH47" s="26">
        <v>1</v>
      </c>
      <c r="DI47" s="26">
        <v>2</v>
      </c>
      <c r="DJ47" s="10">
        <v>0</v>
      </c>
      <c r="DK47" s="25">
        <v>0</v>
      </c>
      <c r="DL47" s="25">
        <v>0</v>
      </c>
      <c r="DM47" s="25">
        <v>0</v>
      </c>
      <c r="DN47" s="25">
        <v>0</v>
      </c>
      <c r="DO47" s="25">
        <v>0</v>
      </c>
      <c r="DP47" s="25">
        <v>0</v>
      </c>
      <c r="DQ47" s="25">
        <v>0</v>
      </c>
      <c r="DR47" s="25">
        <v>1</v>
      </c>
      <c r="DS47" s="25">
        <v>0</v>
      </c>
      <c r="DT47" s="26">
        <v>1</v>
      </c>
      <c r="DU47" s="26">
        <v>1</v>
      </c>
      <c r="DV47" s="26">
        <v>0</v>
      </c>
      <c r="DW47" s="26">
        <v>0</v>
      </c>
      <c r="DX47" s="26"/>
      <c r="DY47" s="10">
        <v>1.69</v>
      </c>
      <c r="EA47" s="10">
        <v>221</v>
      </c>
      <c r="EB47" s="10">
        <v>395</v>
      </c>
      <c r="EC47" s="10">
        <v>1</v>
      </c>
      <c r="EL47" s="10">
        <v>11.3</v>
      </c>
      <c r="EM47" s="10">
        <v>14.4</v>
      </c>
      <c r="EO47" s="94"/>
      <c r="ET47" s="10">
        <v>1</v>
      </c>
      <c r="EU47" s="10">
        <v>0</v>
      </c>
      <c r="EV47" s="10">
        <v>8</v>
      </c>
      <c r="EW47" s="10">
        <v>1</v>
      </c>
      <c r="EY47" s="10">
        <v>8</v>
      </c>
      <c r="EZ47" s="13"/>
      <c r="FA47" s="10">
        <v>1</v>
      </c>
      <c r="FD47" s="94" t="s">
        <v>581</v>
      </c>
      <c r="FE47" s="10">
        <v>7.05</v>
      </c>
      <c r="FF47" s="10" t="s">
        <v>605</v>
      </c>
      <c r="FL47" s="10">
        <v>2</v>
      </c>
      <c r="FM47" s="10">
        <v>1</v>
      </c>
      <c r="FN47" s="10">
        <v>1</v>
      </c>
      <c r="FO47" s="10">
        <v>0</v>
      </c>
      <c r="FP47" s="10">
        <v>0</v>
      </c>
      <c r="FQ47" s="10">
        <v>2</v>
      </c>
      <c r="FR47" s="10">
        <v>2</v>
      </c>
      <c r="FS47" s="10">
        <v>0</v>
      </c>
      <c r="FT47" s="10">
        <v>30</v>
      </c>
      <c r="FU47" s="10">
        <v>1</v>
      </c>
      <c r="FV47" s="10">
        <v>1</v>
      </c>
      <c r="FW47" s="10">
        <v>0</v>
      </c>
      <c r="FX47" s="10">
        <v>0</v>
      </c>
      <c r="FY47" s="10">
        <v>1</v>
      </c>
      <c r="FZ47" s="10">
        <v>1</v>
      </c>
      <c r="GA47" s="10">
        <v>75</v>
      </c>
      <c r="GC47" s="52" t="s">
        <v>488</v>
      </c>
      <c r="GD47" s="10" t="s">
        <v>604</v>
      </c>
    </row>
    <row r="48" spans="1:186" s="10" customFormat="1" ht="15" x14ac:dyDescent="0.2">
      <c r="A48" s="22">
        <v>13420631</v>
      </c>
      <c r="B48" s="22">
        <v>0</v>
      </c>
      <c r="C48" s="29">
        <v>43448</v>
      </c>
      <c r="D48" s="10">
        <v>42</v>
      </c>
      <c r="E48" s="10">
        <v>32</v>
      </c>
      <c r="F48" s="10">
        <v>31</v>
      </c>
      <c r="G48" s="10">
        <f t="shared" si="0"/>
        <v>-11</v>
      </c>
      <c r="H48" s="16">
        <v>1</v>
      </c>
      <c r="I48" s="16">
        <v>0</v>
      </c>
      <c r="J48" s="23">
        <v>52</v>
      </c>
      <c r="K48" s="23">
        <v>1</v>
      </c>
      <c r="L48" s="23">
        <v>0</v>
      </c>
      <c r="M48" s="23">
        <v>1</v>
      </c>
      <c r="N48" s="23"/>
      <c r="O48" s="23">
        <v>0</v>
      </c>
      <c r="P48" s="16">
        <v>1</v>
      </c>
      <c r="Q48" s="23">
        <v>80</v>
      </c>
      <c r="R48" s="23">
        <v>170</v>
      </c>
      <c r="S48" s="34">
        <f t="shared" si="1"/>
        <v>27.681660899653981</v>
      </c>
      <c r="T48" s="10">
        <v>2</v>
      </c>
      <c r="U48" s="23">
        <v>0</v>
      </c>
      <c r="V48" s="23">
        <v>2</v>
      </c>
      <c r="W48" s="38">
        <v>43448.34375</v>
      </c>
      <c r="X48" s="38">
        <v>43448.352083333302</v>
      </c>
      <c r="Y48" s="38">
        <v>43448.385416666701</v>
      </c>
      <c r="Z48" s="38">
        <v>43448.427083333299</v>
      </c>
      <c r="AA48" s="39">
        <f t="shared" si="2"/>
        <v>11.999999955296516</v>
      </c>
      <c r="AB48" s="39">
        <f t="shared" si="3"/>
        <v>48.000000093597919</v>
      </c>
      <c r="AC48" s="39">
        <f t="shared" si="4"/>
        <v>60.000000048894435</v>
      </c>
      <c r="AD48" s="41">
        <v>0</v>
      </c>
      <c r="AE48" s="22">
        <v>1</v>
      </c>
      <c r="AF48" s="22">
        <v>3</v>
      </c>
      <c r="AG48" s="99">
        <v>8</v>
      </c>
      <c r="AH48" s="11">
        <v>1</v>
      </c>
      <c r="AI48" s="23">
        <v>0</v>
      </c>
      <c r="AJ48" s="23">
        <v>0</v>
      </c>
      <c r="AK48" s="23">
        <v>0</v>
      </c>
      <c r="AL48" s="23">
        <v>1</v>
      </c>
      <c r="AM48" s="10">
        <v>6</v>
      </c>
      <c r="AO48" s="10">
        <v>250</v>
      </c>
      <c r="AP48" s="94">
        <v>0</v>
      </c>
      <c r="AQ48" s="94">
        <v>0</v>
      </c>
      <c r="AR48" s="94">
        <v>0</v>
      </c>
      <c r="AS48" s="94">
        <v>0</v>
      </c>
      <c r="AT48" s="94">
        <v>0</v>
      </c>
      <c r="AU48" s="94">
        <v>0</v>
      </c>
      <c r="AV48" s="94">
        <v>0</v>
      </c>
      <c r="AW48" s="94">
        <v>0</v>
      </c>
      <c r="AX48" s="10">
        <v>1</v>
      </c>
      <c r="AY48" s="10">
        <v>0</v>
      </c>
      <c r="AZ48" s="10">
        <v>0</v>
      </c>
      <c r="BA48" s="10">
        <v>1</v>
      </c>
      <c r="BB48" s="10">
        <v>3</v>
      </c>
      <c r="BC48" s="10">
        <v>0</v>
      </c>
      <c r="BD48" s="10">
        <v>1</v>
      </c>
      <c r="BE48" s="10">
        <v>0</v>
      </c>
      <c r="BF48" s="10">
        <v>1</v>
      </c>
      <c r="BG48" s="10">
        <v>0</v>
      </c>
      <c r="BH48" s="10">
        <v>0</v>
      </c>
      <c r="BI48" s="10">
        <v>0</v>
      </c>
      <c r="BJ48" s="10">
        <v>137</v>
      </c>
      <c r="BK48" s="12"/>
      <c r="BM48" s="23">
        <v>1</v>
      </c>
      <c r="BN48" s="23">
        <v>0</v>
      </c>
      <c r="BO48" s="23">
        <v>0</v>
      </c>
      <c r="BP48" s="23">
        <v>1</v>
      </c>
      <c r="BQ48" s="23">
        <v>1</v>
      </c>
      <c r="BR48" s="23">
        <v>0</v>
      </c>
      <c r="BS48" s="23">
        <v>0</v>
      </c>
      <c r="BT48" s="96"/>
      <c r="BU48" s="38">
        <v>43448.447916666701</v>
      </c>
      <c r="BV48" s="38">
        <v>43448.489583333299</v>
      </c>
      <c r="BW48" s="38">
        <v>43448.458333333299</v>
      </c>
      <c r="BX48" s="38">
        <v>43448.5625</v>
      </c>
      <c r="BY48" s="38">
        <v>43448.489583333299</v>
      </c>
      <c r="BZ48" s="103"/>
      <c r="CA48" s="103"/>
      <c r="CB48" s="23">
        <v>1</v>
      </c>
      <c r="CC48" s="23">
        <v>0</v>
      </c>
      <c r="CD48" s="23">
        <v>1</v>
      </c>
      <c r="CE48" s="23">
        <v>0</v>
      </c>
      <c r="CF48" s="23">
        <v>0</v>
      </c>
      <c r="CG48" s="23"/>
      <c r="CH48" s="103"/>
      <c r="CI48" s="16">
        <v>1</v>
      </c>
      <c r="CJ48" s="16">
        <v>0</v>
      </c>
      <c r="CK48" s="16">
        <v>0</v>
      </c>
      <c r="CL48" s="16">
        <v>1</v>
      </c>
      <c r="CM48" s="16">
        <v>1</v>
      </c>
      <c r="CN48" s="16">
        <v>1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25">
        <v>0</v>
      </c>
      <c r="CY48" s="25">
        <v>5</v>
      </c>
      <c r="CZ48" s="25">
        <v>0</v>
      </c>
      <c r="DA48" s="25">
        <v>5</v>
      </c>
      <c r="DB48" s="25">
        <v>0</v>
      </c>
      <c r="DC48" s="25">
        <v>0</v>
      </c>
      <c r="DD48" s="25">
        <v>1</v>
      </c>
      <c r="DE48" s="25"/>
      <c r="DF48" s="25">
        <v>1</v>
      </c>
      <c r="DG48" s="105"/>
      <c r="DH48" s="26">
        <v>2</v>
      </c>
      <c r="DI48" s="26">
        <v>3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1</v>
      </c>
      <c r="DS48" s="10">
        <v>0</v>
      </c>
      <c r="DT48" s="10">
        <v>1</v>
      </c>
      <c r="DU48" s="10">
        <v>0</v>
      </c>
      <c r="DV48" s="10">
        <v>0</v>
      </c>
      <c r="DW48" s="10">
        <v>0</v>
      </c>
      <c r="DY48" s="10">
        <v>0.97</v>
      </c>
      <c r="DZ48" s="10">
        <v>0.88</v>
      </c>
      <c r="EA48" s="10">
        <v>146</v>
      </c>
      <c r="EB48" s="10">
        <v>271</v>
      </c>
      <c r="ED48" s="10">
        <v>144</v>
      </c>
      <c r="EE48" s="10">
        <v>6.62</v>
      </c>
      <c r="EF48" s="10">
        <v>98</v>
      </c>
      <c r="EG48" s="10">
        <v>743</v>
      </c>
      <c r="EH48" s="10">
        <v>196</v>
      </c>
      <c r="EI48" s="10">
        <v>246</v>
      </c>
      <c r="EJ48" s="10">
        <v>169</v>
      </c>
      <c r="EK48" s="10">
        <v>0.2</v>
      </c>
      <c r="EL48" s="10">
        <v>7.4</v>
      </c>
      <c r="EO48" s="94"/>
      <c r="ET48" s="10">
        <v>1</v>
      </c>
      <c r="EU48" s="10">
        <v>0</v>
      </c>
      <c r="EV48" s="10">
        <v>6.5</v>
      </c>
      <c r="EW48" s="94"/>
      <c r="EY48" s="10">
        <v>13</v>
      </c>
      <c r="EZ48" s="13"/>
      <c r="FI48" s="10">
        <v>1</v>
      </c>
      <c r="FK48" s="10">
        <v>1</v>
      </c>
      <c r="FL48" s="10">
        <v>2</v>
      </c>
      <c r="FM48" s="10">
        <v>1</v>
      </c>
      <c r="FN48" s="10">
        <v>0</v>
      </c>
      <c r="FO48" s="10">
        <v>0</v>
      </c>
      <c r="FP48" s="10">
        <v>0</v>
      </c>
      <c r="FQ48" s="10">
        <v>8</v>
      </c>
      <c r="FR48" s="10">
        <v>1</v>
      </c>
      <c r="FS48" s="10">
        <v>0</v>
      </c>
      <c r="FU48" s="10">
        <v>1</v>
      </c>
      <c r="FV48" s="10">
        <v>1</v>
      </c>
      <c r="FW48" s="94">
        <v>0</v>
      </c>
      <c r="FX48" s="10">
        <v>0</v>
      </c>
      <c r="FY48" s="10">
        <v>0</v>
      </c>
      <c r="FZ48" s="10">
        <v>3</v>
      </c>
      <c r="GA48" s="10">
        <v>25</v>
      </c>
      <c r="GC48" s="52"/>
      <c r="GD48" s="10" t="s">
        <v>574</v>
      </c>
    </row>
    <row r="49" spans="1:187" s="10" customFormat="1" ht="15" x14ac:dyDescent="0.2">
      <c r="A49" s="22">
        <v>13411564</v>
      </c>
      <c r="B49" s="22">
        <v>0</v>
      </c>
      <c r="C49" s="29">
        <v>43422</v>
      </c>
      <c r="D49" s="10">
        <v>38</v>
      </c>
      <c r="E49" s="10">
        <v>18</v>
      </c>
      <c r="F49" s="10">
        <v>31</v>
      </c>
      <c r="G49" s="10">
        <f t="shared" si="0"/>
        <v>-7</v>
      </c>
      <c r="H49" s="10">
        <v>0</v>
      </c>
      <c r="I49" s="10">
        <v>0</v>
      </c>
      <c r="J49" s="23">
        <v>58</v>
      </c>
      <c r="K49" s="23">
        <v>1</v>
      </c>
      <c r="L49" s="23">
        <v>0</v>
      </c>
      <c r="M49" s="23">
        <v>1</v>
      </c>
      <c r="N49" s="23"/>
      <c r="O49" s="23">
        <v>5</v>
      </c>
      <c r="P49" s="94"/>
      <c r="Q49" s="23">
        <v>85</v>
      </c>
      <c r="R49" s="23">
        <v>185</v>
      </c>
      <c r="S49" s="34">
        <f t="shared" si="1"/>
        <v>24.835646457268076</v>
      </c>
      <c r="T49" s="25">
        <v>0</v>
      </c>
      <c r="U49" s="23">
        <v>0</v>
      </c>
      <c r="V49" s="23">
        <v>2</v>
      </c>
      <c r="W49" s="38">
        <v>43422.552083333299</v>
      </c>
      <c r="X49" s="38">
        <v>43422.557638888902</v>
      </c>
      <c r="Y49" s="38">
        <v>43422.625</v>
      </c>
      <c r="Z49" s="38">
        <v>43422.632638888899</v>
      </c>
      <c r="AA49" s="39">
        <f t="shared" si="2"/>
        <v>8.0000000679865479</v>
      </c>
      <c r="AB49" s="39">
        <f t="shared" si="3"/>
        <v>96.999999980907887</v>
      </c>
      <c r="AC49" s="39">
        <f t="shared" si="4"/>
        <v>105.00000004889444</v>
      </c>
      <c r="AD49" s="41">
        <v>0</v>
      </c>
      <c r="AE49" s="22">
        <v>0</v>
      </c>
      <c r="AF49" s="22"/>
      <c r="AG49" s="99">
        <v>4</v>
      </c>
      <c r="AH49" s="11">
        <v>1</v>
      </c>
      <c r="AI49" s="23">
        <v>0</v>
      </c>
      <c r="AJ49" s="23">
        <v>0</v>
      </c>
      <c r="AK49" s="23">
        <v>0</v>
      </c>
      <c r="AL49" s="23">
        <v>0</v>
      </c>
      <c r="AM49" s="10">
        <v>10</v>
      </c>
      <c r="AN49" s="10">
        <v>0</v>
      </c>
      <c r="AO49" s="94"/>
      <c r="AP49" s="94">
        <v>0</v>
      </c>
      <c r="AQ49" s="94">
        <v>0</v>
      </c>
      <c r="AR49" s="94">
        <v>0</v>
      </c>
      <c r="AS49" s="94">
        <v>0</v>
      </c>
      <c r="AT49" s="94">
        <v>0</v>
      </c>
      <c r="AU49" s="94">
        <v>0</v>
      </c>
      <c r="AV49" s="94">
        <v>0</v>
      </c>
      <c r="AW49" s="94">
        <v>0</v>
      </c>
      <c r="AX49" s="10">
        <v>2</v>
      </c>
      <c r="AY49" s="10">
        <v>0</v>
      </c>
      <c r="AZ49" s="10">
        <v>0</v>
      </c>
      <c r="BA49" s="10">
        <v>0</v>
      </c>
      <c r="BB49" s="10">
        <v>3</v>
      </c>
      <c r="BC49" s="10">
        <v>0</v>
      </c>
      <c r="BD49" s="10">
        <v>1</v>
      </c>
      <c r="BE49" s="10">
        <v>0</v>
      </c>
      <c r="BF49" s="10">
        <v>0</v>
      </c>
      <c r="BG49" s="10">
        <v>1</v>
      </c>
      <c r="BH49" s="10">
        <v>0</v>
      </c>
      <c r="BI49" s="10">
        <v>0</v>
      </c>
      <c r="BJ49" s="10">
        <v>141</v>
      </c>
      <c r="BK49" s="12"/>
      <c r="BM49" s="23">
        <v>1</v>
      </c>
      <c r="BN49" s="23">
        <v>0</v>
      </c>
      <c r="BO49" s="23">
        <v>0</v>
      </c>
      <c r="BP49" s="23">
        <v>0</v>
      </c>
      <c r="BQ49" s="23">
        <v>0</v>
      </c>
      <c r="BR49" s="23">
        <v>0</v>
      </c>
      <c r="BS49" s="23">
        <v>0</v>
      </c>
      <c r="BT49" s="96"/>
      <c r="BU49" s="38">
        <v>43422.65</v>
      </c>
      <c r="BV49" s="44"/>
      <c r="BW49" s="38">
        <v>43422.736111111102</v>
      </c>
      <c r="BX49" s="38">
        <v>43422.791666666701</v>
      </c>
      <c r="BY49" s="38">
        <v>43422.791666666701</v>
      </c>
      <c r="BZ49" s="25">
        <v>0</v>
      </c>
      <c r="CA49" s="25">
        <v>1</v>
      </c>
      <c r="CB49" s="23">
        <v>1</v>
      </c>
      <c r="CC49" s="23">
        <v>0</v>
      </c>
      <c r="CD49" s="23">
        <v>1</v>
      </c>
      <c r="CE49" s="23">
        <v>0</v>
      </c>
      <c r="CF49" s="23">
        <v>0</v>
      </c>
      <c r="CG49" s="23"/>
      <c r="CH49" s="105"/>
      <c r="CI49" s="10">
        <v>1</v>
      </c>
      <c r="CJ49" s="10">
        <v>0</v>
      </c>
      <c r="CK49" s="10">
        <v>0</v>
      </c>
      <c r="CL49" s="10">
        <v>1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25">
        <v>0</v>
      </c>
      <c r="CY49" s="25">
        <v>5</v>
      </c>
      <c r="CZ49" s="25">
        <v>0</v>
      </c>
      <c r="DA49" s="25">
        <v>5</v>
      </c>
      <c r="DB49" s="25">
        <v>0</v>
      </c>
      <c r="DC49" s="25">
        <v>4</v>
      </c>
      <c r="DD49" s="25">
        <v>0</v>
      </c>
      <c r="DE49" s="105">
        <v>5</v>
      </c>
      <c r="DF49" s="25">
        <v>0</v>
      </c>
      <c r="DG49" s="105">
        <v>5</v>
      </c>
      <c r="DH49" s="25">
        <v>0</v>
      </c>
      <c r="DI49" s="25">
        <v>2</v>
      </c>
      <c r="DJ49" s="25">
        <v>1</v>
      </c>
      <c r="DK49" s="25">
        <v>0</v>
      </c>
      <c r="DL49" s="25">
        <v>0</v>
      </c>
      <c r="DM49" s="25">
        <v>0</v>
      </c>
      <c r="DN49" s="25">
        <v>0</v>
      </c>
      <c r="DO49" s="25">
        <v>0</v>
      </c>
      <c r="DP49" s="25">
        <v>0</v>
      </c>
      <c r="DQ49" s="25">
        <v>0</v>
      </c>
      <c r="DR49" s="25">
        <v>1</v>
      </c>
      <c r="DS49" s="25">
        <v>0</v>
      </c>
      <c r="DT49" s="26">
        <v>1</v>
      </c>
      <c r="DU49" s="26">
        <v>0</v>
      </c>
      <c r="DV49" s="26">
        <v>0</v>
      </c>
      <c r="DW49" s="26">
        <v>0</v>
      </c>
      <c r="DX49" s="26"/>
      <c r="DY49" s="10">
        <v>1.95</v>
      </c>
      <c r="EB49" s="10">
        <v>687</v>
      </c>
      <c r="ED49" s="10">
        <v>133</v>
      </c>
      <c r="EE49" s="10">
        <v>5.9</v>
      </c>
      <c r="EF49" s="10">
        <v>90</v>
      </c>
      <c r="EG49" s="10">
        <v>2238</v>
      </c>
      <c r="EH49" s="10">
        <v>450</v>
      </c>
      <c r="EI49" s="10">
        <v>483</v>
      </c>
      <c r="EJ49" s="10">
        <v>145</v>
      </c>
      <c r="EK49" s="10">
        <v>0.3</v>
      </c>
      <c r="EL49" s="10">
        <v>10.5</v>
      </c>
      <c r="EM49" s="10">
        <v>15.8</v>
      </c>
      <c r="EN49" s="10">
        <v>3.6</v>
      </c>
      <c r="EO49" s="94">
        <v>0</v>
      </c>
      <c r="EP49" s="10">
        <v>110</v>
      </c>
      <c r="EQ49" s="10">
        <v>10</v>
      </c>
      <c r="ES49" s="10">
        <v>14.3</v>
      </c>
      <c r="ET49" s="10">
        <v>1</v>
      </c>
      <c r="EU49" s="10">
        <v>0</v>
      </c>
      <c r="EV49" s="10">
        <v>8</v>
      </c>
      <c r="EW49" s="10">
        <v>1</v>
      </c>
      <c r="EY49" s="10">
        <v>10</v>
      </c>
      <c r="EZ49" s="13" t="s">
        <v>673</v>
      </c>
      <c r="FA49" s="10">
        <v>1</v>
      </c>
      <c r="FD49" s="10">
        <v>7.46</v>
      </c>
      <c r="FE49" s="10">
        <v>7.53</v>
      </c>
      <c r="FF49" s="10" t="s">
        <v>603</v>
      </c>
      <c r="FI49" s="10">
        <v>1</v>
      </c>
      <c r="FJ49" s="10">
        <v>1</v>
      </c>
      <c r="FK49" s="10">
        <v>1</v>
      </c>
      <c r="FL49" s="10">
        <v>0</v>
      </c>
      <c r="FQ49" s="10">
        <v>5</v>
      </c>
      <c r="FR49" s="10">
        <v>2</v>
      </c>
      <c r="FS49" s="10">
        <v>0</v>
      </c>
      <c r="FU49" s="10">
        <v>2</v>
      </c>
      <c r="FV49" s="10">
        <v>2</v>
      </c>
      <c r="FW49" s="94">
        <v>0</v>
      </c>
      <c r="FX49" s="94"/>
      <c r="FY49" s="10">
        <v>0</v>
      </c>
      <c r="FZ49" s="10">
        <v>0</v>
      </c>
      <c r="GA49" s="10">
        <v>47</v>
      </c>
      <c r="GC49" s="52"/>
      <c r="GD49" s="10" t="s">
        <v>602</v>
      </c>
    </row>
    <row r="50" spans="1:187" s="10" customFormat="1" ht="15" x14ac:dyDescent="0.2">
      <c r="A50" s="23">
        <v>13409383</v>
      </c>
      <c r="B50" s="22">
        <v>0</v>
      </c>
      <c r="C50" s="29">
        <v>43410</v>
      </c>
      <c r="D50" s="10">
        <v>40</v>
      </c>
      <c r="E50" s="10">
        <v>35</v>
      </c>
      <c r="F50" s="10">
        <v>43</v>
      </c>
      <c r="G50" s="10">
        <f t="shared" si="0"/>
        <v>3</v>
      </c>
      <c r="H50" s="10">
        <v>0</v>
      </c>
      <c r="I50" s="10">
        <v>0</v>
      </c>
      <c r="J50" s="23">
        <v>60</v>
      </c>
      <c r="K50" s="23">
        <v>1</v>
      </c>
      <c r="L50" s="23">
        <v>0</v>
      </c>
      <c r="M50" s="23">
        <v>1</v>
      </c>
      <c r="N50" s="23"/>
      <c r="O50" s="23">
        <v>0</v>
      </c>
      <c r="P50" s="94"/>
      <c r="Q50" s="23">
        <v>95</v>
      </c>
      <c r="R50" s="23">
        <v>170</v>
      </c>
      <c r="S50" s="34">
        <f t="shared" si="1"/>
        <v>32.871972318339104</v>
      </c>
      <c r="T50" s="25">
        <v>0</v>
      </c>
      <c r="U50" s="23">
        <v>1</v>
      </c>
      <c r="V50" s="23">
        <v>2</v>
      </c>
      <c r="W50" s="38">
        <v>43410.505555555603</v>
      </c>
      <c r="X50" s="38">
        <v>43410.508333333302</v>
      </c>
      <c r="Y50" s="38">
        <v>43410.541666666701</v>
      </c>
      <c r="Z50" s="38">
        <v>43410.555555555598</v>
      </c>
      <c r="AA50" s="39">
        <f t="shared" si="2"/>
        <v>3.9999998873099685</v>
      </c>
      <c r="AB50" s="39">
        <f t="shared" si="3"/>
        <v>48.000000093597919</v>
      </c>
      <c r="AC50" s="39">
        <f t="shared" si="4"/>
        <v>51.999999980907887</v>
      </c>
      <c r="AD50" s="41">
        <v>0</v>
      </c>
      <c r="AE50" s="22">
        <v>1</v>
      </c>
      <c r="AF50" s="22">
        <v>6</v>
      </c>
      <c r="AG50" s="99">
        <v>5</v>
      </c>
      <c r="AH50" s="11">
        <v>2</v>
      </c>
      <c r="AI50" s="23">
        <v>1</v>
      </c>
      <c r="AJ50" s="23"/>
      <c r="AK50" s="23">
        <v>0</v>
      </c>
      <c r="AL50" s="23">
        <v>0</v>
      </c>
      <c r="AM50" s="10">
        <v>9</v>
      </c>
      <c r="AO50" s="10">
        <v>1500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7</v>
      </c>
      <c r="AY50" s="10">
        <v>0</v>
      </c>
      <c r="AZ50" s="10">
        <v>0</v>
      </c>
      <c r="BA50" s="10">
        <v>0</v>
      </c>
      <c r="BB50" s="10">
        <v>3</v>
      </c>
      <c r="BC50" s="10">
        <v>1</v>
      </c>
      <c r="BD50" s="10">
        <v>1</v>
      </c>
      <c r="BE50" s="10">
        <v>0</v>
      </c>
      <c r="BF50" s="10">
        <v>1</v>
      </c>
      <c r="BG50" s="10">
        <v>0</v>
      </c>
      <c r="BH50" s="10">
        <v>0</v>
      </c>
      <c r="BI50" s="94"/>
      <c r="BJ50" s="10">
        <v>112</v>
      </c>
      <c r="BK50" s="12"/>
      <c r="BM50" s="23">
        <v>1</v>
      </c>
      <c r="BN50" s="23">
        <v>0</v>
      </c>
      <c r="BO50" s="23">
        <v>0</v>
      </c>
      <c r="BP50" s="23">
        <v>0</v>
      </c>
      <c r="BQ50" s="23">
        <v>0</v>
      </c>
      <c r="BR50" s="23">
        <v>0</v>
      </c>
      <c r="BS50" s="23">
        <v>0</v>
      </c>
      <c r="BT50" s="96"/>
      <c r="BU50" s="38">
        <v>43410.583333333299</v>
      </c>
      <c r="BV50" s="44"/>
      <c r="BW50" s="38">
        <v>43410.653472222199</v>
      </c>
      <c r="BX50" s="38">
        <v>43410.701388888898</v>
      </c>
      <c r="BY50" s="38">
        <v>43410.701388888898</v>
      </c>
      <c r="BZ50" s="25">
        <v>1</v>
      </c>
      <c r="CA50" s="25">
        <v>0</v>
      </c>
      <c r="CB50" s="23">
        <v>0</v>
      </c>
      <c r="CC50" s="23"/>
      <c r="CD50" s="23">
        <v>0</v>
      </c>
      <c r="CE50" s="23"/>
      <c r="CF50" s="23">
        <v>0</v>
      </c>
      <c r="CG50" s="23"/>
      <c r="CH50" s="105">
        <v>0</v>
      </c>
      <c r="CI50" s="10">
        <v>1</v>
      </c>
      <c r="CJ50" s="10">
        <v>0</v>
      </c>
      <c r="CK50" s="10">
        <v>0</v>
      </c>
      <c r="CL50" s="10">
        <v>1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25">
        <v>0</v>
      </c>
      <c r="CY50" s="25">
        <v>2</v>
      </c>
      <c r="CZ50" s="25">
        <v>0</v>
      </c>
      <c r="DA50" s="25">
        <v>2</v>
      </c>
      <c r="DB50" s="25">
        <v>0</v>
      </c>
      <c r="DC50" s="25">
        <v>0</v>
      </c>
      <c r="DD50" s="25">
        <v>0</v>
      </c>
      <c r="DE50" s="105">
        <v>3</v>
      </c>
      <c r="DF50" s="25">
        <v>0</v>
      </c>
      <c r="DG50" s="105">
        <v>3</v>
      </c>
      <c r="DH50" s="25">
        <v>0</v>
      </c>
      <c r="DI50" s="25">
        <v>0</v>
      </c>
      <c r="DJ50" s="25">
        <v>0</v>
      </c>
      <c r="DK50" s="25">
        <v>0</v>
      </c>
      <c r="DL50" s="25">
        <v>0</v>
      </c>
      <c r="DM50" s="105"/>
      <c r="DN50" s="105"/>
      <c r="DO50" s="105"/>
      <c r="DP50" s="25">
        <v>0</v>
      </c>
      <c r="DQ50" s="105"/>
      <c r="DR50" s="105"/>
      <c r="DS50" s="105"/>
      <c r="DT50" s="103"/>
      <c r="DU50" s="103"/>
      <c r="DV50" s="103"/>
      <c r="DW50" s="26">
        <v>0</v>
      </c>
      <c r="DX50" s="26"/>
      <c r="DY50" s="10">
        <v>1.84</v>
      </c>
      <c r="DZ50" s="10">
        <v>0.89</v>
      </c>
      <c r="EA50" s="10">
        <v>370</v>
      </c>
      <c r="ED50" s="10">
        <v>134</v>
      </c>
      <c r="EE50" s="10">
        <v>5</v>
      </c>
      <c r="EF50" s="10">
        <v>102</v>
      </c>
      <c r="EH50" s="10">
        <v>258</v>
      </c>
      <c r="EI50" s="10">
        <v>243</v>
      </c>
      <c r="EJ50" s="10">
        <v>109</v>
      </c>
      <c r="EK50" s="10">
        <v>0.1</v>
      </c>
      <c r="EL50" s="10">
        <v>8.1999999999999993</v>
      </c>
      <c r="EM50" s="10">
        <v>7.9</v>
      </c>
      <c r="EN50" s="10">
        <v>3.1</v>
      </c>
      <c r="EO50" s="94">
        <v>0</v>
      </c>
      <c r="EP50" s="10">
        <v>91</v>
      </c>
      <c r="EQ50" s="10">
        <v>14</v>
      </c>
      <c r="ES50" s="10">
        <v>10.7</v>
      </c>
      <c r="ET50" s="10">
        <v>0</v>
      </c>
      <c r="EU50" s="10">
        <v>0</v>
      </c>
      <c r="EV50" s="10">
        <v>8.5</v>
      </c>
      <c r="EW50" s="94"/>
      <c r="EZ50" s="13"/>
      <c r="FA50" s="10">
        <v>1</v>
      </c>
      <c r="FD50" s="10">
        <v>7.05</v>
      </c>
      <c r="FE50" s="10">
        <v>7.2</v>
      </c>
      <c r="FF50" s="10" t="s">
        <v>601</v>
      </c>
      <c r="FI50" s="10">
        <v>1</v>
      </c>
      <c r="FJ50" s="10">
        <v>1</v>
      </c>
      <c r="FK50" s="10">
        <v>0</v>
      </c>
      <c r="FL50" s="10">
        <v>2</v>
      </c>
      <c r="FQ50" s="10">
        <v>3</v>
      </c>
      <c r="FR50" s="10">
        <v>2</v>
      </c>
      <c r="FS50" s="10">
        <v>0</v>
      </c>
      <c r="FT50" s="10">
        <v>90</v>
      </c>
      <c r="FU50" s="10">
        <v>1</v>
      </c>
      <c r="FV50" s="10">
        <v>0</v>
      </c>
      <c r="FW50" s="10">
        <v>0</v>
      </c>
      <c r="FX50" s="10">
        <v>0</v>
      </c>
      <c r="FY50" s="10">
        <v>2</v>
      </c>
      <c r="FZ50" s="10">
        <v>0</v>
      </c>
      <c r="GA50" s="10">
        <v>28</v>
      </c>
      <c r="GC50" s="52"/>
      <c r="GD50" s="10" t="s">
        <v>600</v>
      </c>
    </row>
    <row r="51" spans="1:187" s="10" customFormat="1" ht="15" x14ac:dyDescent="0.2">
      <c r="A51" s="23">
        <v>13404811</v>
      </c>
      <c r="B51" s="22">
        <v>0</v>
      </c>
      <c r="C51" s="29">
        <v>43402</v>
      </c>
      <c r="D51" s="10">
        <v>8</v>
      </c>
      <c r="E51" s="10">
        <v>4</v>
      </c>
      <c r="F51" s="10">
        <v>8</v>
      </c>
      <c r="G51" s="10">
        <f t="shared" si="0"/>
        <v>0</v>
      </c>
      <c r="H51" s="10">
        <v>1</v>
      </c>
      <c r="I51" s="10">
        <v>0</v>
      </c>
      <c r="J51" s="23">
        <v>52</v>
      </c>
      <c r="K51" s="23">
        <v>1</v>
      </c>
      <c r="L51" s="23">
        <v>0</v>
      </c>
      <c r="M51" s="23">
        <v>1</v>
      </c>
      <c r="N51" s="23"/>
      <c r="O51" s="23">
        <v>0</v>
      </c>
      <c r="P51" s="94"/>
      <c r="Q51" s="23">
        <v>75</v>
      </c>
      <c r="R51" s="23">
        <v>170</v>
      </c>
      <c r="S51" s="34">
        <f t="shared" si="1"/>
        <v>25.95155709342561</v>
      </c>
      <c r="T51" s="25">
        <v>6</v>
      </c>
      <c r="U51" s="23">
        <v>0</v>
      </c>
      <c r="V51" s="23">
        <v>2</v>
      </c>
      <c r="W51" s="38">
        <v>43402.460416666698</v>
      </c>
      <c r="X51" s="38">
        <v>43402.465277777803</v>
      </c>
      <c r="Y51" s="38">
        <v>43402.513888888898</v>
      </c>
      <c r="Z51" s="38">
        <v>43402.530555555597</v>
      </c>
      <c r="AA51" s="39">
        <f t="shared" si="2"/>
        <v>6.9999999913852662</v>
      </c>
      <c r="AB51" s="39">
        <f t="shared" si="3"/>
        <v>69.999999976716936</v>
      </c>
      <c r="AC51" s="39">
        <f t="shared" si="4"/>
        <v>76.999999968102202</v>
      </c>
      <c r="AD51" s="41">
        <v>1</v>
      </c>
      <c r="AE51" s="22">
        <v>2</v>
      </c>
      <c r="AF51" s="22"/>
      <c r="AG51" s="100"/>
      <c r="AH51" s="14">
        <v>1</v>
      </c>
      <c r="AI51" s="23">
        <v>1</v>
      </c>
      <c r="AJ51" s="23"/>
      <c r="AK51" s="23">
        <v>0</v>
      </c>
      <c r="AL51" s="23">
        <v>1</v>
      </c>
      <c r="AM51" s="10">
        <v>5</v>
      </c>
      <c r="AN51" s="10">
        <v>0</v>
      </c>
      <c r="AO51" s="94"/>
      <c r="AP51" s="10">
        <v>0</v>
      </c>
      <c r="AQ51" s="10">
        <v>0</v>
      </c>
      <c r="AR51" s="10">
        <v>0</v>
      </c>
      <c r="AS51" s="10">
        <v>1</v>
      </c>
      <c r="AT51" s="10">
        <v>0</v>
      </c>
      <c r="AU51" s="10">
        <v>0</v>
      </c>
      <c r="AV51" s="10">
        <v>0</v>
      </c>
      <c r="AW51" s="10">
        <v>1</v>
      </c>
      <c r="AX51" s="10">
        <v>0</v>
      </c>
      <c r="AY51" s="10">
        <v>0</v>
      </c>
      <c r="AZ51" s="10">
        <v>0</v>
      </c>
      <c r="BA51" s="10">
        <v>0</v>
      </c>
      <c r="BB51" s="10">
        <v>1</v>
      </c>
      <c r="BC51" s="10">
        <v>1</v>
      </c>
      <c r="BD51" s="10">
        <v>1</v>
      </c>
      <c r="BE51" s="10">
        <v>0</v>
      </c>
      <c r="BF51" s="10">
        <v>1</v>
      </c>
      <c r="BG51" s="10">
        <v>0</v>
      </c>
      <c r="BH51" s="10">
        <v>0</v>
      </c>
      <c r="BI51" s="10">
        <v>0</v>
      </c>
      <c r="BJ51" s="10">
        <v>117</v>
      </c>
      <c r="BK51" s="12"/>
      <c r="BM51" s="23">
        <v>1</v>
      </c>
      <c r="BN51" s="23">
        <v>1</v>
      </c>
      <c r="BO51" s="23">
        <v>0</v>
      </c>
      <c r="BP51" s="23">
        <v>1</v>
      </c>
      <c r="BQ51" s="23">
        <v>1</v>
      </c>
      <c r="BR51" s="23">
        <v>0</v>
      </c>
      <c r="BS51" s="23">
        <v>0</v>
      </c>
      <c r="BT51" s="96"/>
      <c r="BU51" s="38">
        <v>43402.565972222197</v>
      </c>
      <c r="BV51" s="38">
        <v>43402.677083333299</v>
      </c>
      <c r="BW51" s="38">
        <v>43402.666666666701</v>
      </c>
      <c r="BX51" s="38">
        <v>43402.697916666701</v>
      </c>
      <c r="BY51" s="38">
        <v>43402.677083333299</v>
      </c>
      <c r="BZ51" s="105"/>
      <c r="CA51" s="105"/>
      <c r="CB51" s="23">
        <v>0</v>
      </c>
      <c r="CC51" s="23"/>
      <c r="CD51" s="23">
        <v>0</v>
      </c>
      <c r="CE51" s="23"/>
      <c r="CF51" s="23">
        <v>0</v>
      </c>
      <c r="CG51" s="23"/>
      <c r="CH51" s="105"/>
      <c r="CI51" s="10">
        <v>1</v>
      </c>
      <c r="CJ51" s="10">
        <v>0</v>
      </c>
      <c r="CK51" s="10">
        <v>0</v>
      </c>
      <c r="CL51" s="10">
        <v>1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1</v>
      </c>
      <c r="CV51" s="10">
        <v>0</v>
      </c>
      <c r="CW51" s="10">
        <v>0</v>
      </c>
      <c r="CX51" s="25">
        <v>0</v>
      </c>
      <c r="CY51" s="25">
        <v>5</v>
      </c>
      <c r="CZ51" s="25">
        <v>0</v>
      </c>
      <c r="DA51" s="25">
        <v>5</v>
      </c>
      <c r="DB51" s="25">
        <v>0</v>
      </c>
      <c r="DC51" s="105">
        <v>2</v>
      </c>
      <c r="DD51" s="25">
        <v>0</v>
      </c>
      <c r="DE51" s="105">
        <v>0</v>
      </c>
      <c r="DF51" s="25">
        <v>0</v>
      </c>
      <c r="DG51" s="105">
        <v>0</v>
      </c>
      <c r="DH51" s="25">
        <v>0</v>
      </c>
      <c r="DI51" s="25">
        <v>3</v>
      </c>
      <c r="DJ51" s="25">
        <v>0</v>
      </c>
      <c r="DK51" s="25">
        <v>0</v>
      </c>
      <c r="DL51" s="25">
        <v>0</v>
      </c>
      <c r="DM51" s="25">
        <v>0</v>
      </c>
      <c r="DN51" s="25">
        <v>0</v>
      </c>
      <c r="DO51" s="25">
        <v>0</v>
      </c>
      <c r="DP51" s="25">
        <v>0</v>
      </c>
      <c r="DQ51" s="25">
        <v>0</v>
      </c>
      <c r="DR51" s="25">
        <v>1</v>
      </c>
      <c r="DS51" s="25">
        <v>0</v>
      </c>
      <c r="DT51" s="26">
        <v>1</v>
      </c>
      <c r="DU51" s="26">
        <v>0</v>
      </c>
      <c r="DV51" s="26">
        <v>0</v>
      </c>
      <c r="DW51" s="26">
        <v>0</v>
      </c>
      <c r="DX51" s="26"/>
      <c r="DY51" s="10">
        <v>2.34</v>
      </c>
      <c r="EA51" s="10">
        <v>298</v>
      </c>
      <c r="EO51" s="94"/>
      <c r="ES51" s="10">
        <v>26.5</v>
      </c>
      <c r="ET51" s="10">
        <v>0</v>
      </c>
      <c r="EU51" s="10">
        <v>0</v>
      </c>
      <c r="EV51" s="10">
        <v>7.7</v>
      </c>
      <c r="EW51" s="94"/>
      <c r="EZ51" s="13"/>
      <c r="FI51" s="10">
        <v>1</v>
      </c>
      <c r="FJ51" s="10">
        <v>1</v>
      </c>
      <c r="FK51" s="10">
        <v>1</v>
      </c>
      <c r="FL51" s="10">
        <v>2</v>
      </c>
      <c r="FM51" s="10">
        <v>1</v>
      </c>
      <c r="FN51" s="10">
        <v>0</v>
      </c>
      <c r="FO51" s="10">
        <v>0</v>
      </c>
      <c r="FP51" s="10">
        <v>0</v>
      </c>
      <c r="FQ51" s="10">
        <v>2</v>
      </c>
      <c r="FR51" s="10">
        <v>2</v>
      </c>
      <c r="FS51" s="10">
        <v>0</v>
      </c>
      <c r="FU51" s="10">
        <v>0</v>
      </c>
      <c r="FV51" s="10">
        <v>4</v>
      </c>
      <c r="FW51" s="10">
        <v>0</v>
      </c>
      <c r="FX51" s="10">
        <v>0</v>
      </c>
      <c r="FY51" s="10">
        <v>1</v>
      </c>
      <c r="FZ51" s="10">
        <v>0</v>
      </c>
      <c r="GA51" s="10">
        <v>48</v>
      </c>
      <c r="GC51" s="52"/>
      <c r="GD51" s="10" t="s">
        <v>576</v>
      </c>
    </row>
    <row r="52" spans="1:187" s="10" customFormat="1" ht="15" x14ac:dyDescent="0.2">
      <c r="A52" s="23">
        <v>13404634</v>
      </c>
      <c r="B52" s="22">
        <v>0</v>
      </c>
      <c r="C52" s="29">
        <v>43398</v>
      </c>
      <c r="D52" s="10">
        <v>21</v>
      </c>
      <c r="E52" s="10">
        <v>16</v>
      </c>
      <c r="F52" s="10">
        <v>18</v>
      </c>
      <c r="G52" s="10">
        <f t="shared" si="0"/>
        <v>-3</v>
      </c>
      <c r="H52" s="10">
        <v>1</v>
      </c>
      <c r="I52" s="10">
        <v>0</v>
      </c>
      <c r="J52" s="23">
        <v>36</v>
      </c>
      <c r="K52" s="23">
        <v>2</v>
      </c>
      <c r="L52" s="23">
        <v>0</v>
      </c>
      <c r="M52" s="23">
        <v>1</v>
      </c>
      <c r="N52" s="23"/>
      <c r="O52" s="23">
        <v>0</v>
      </c>
      <c r="P52" s="94"/>
      <c r="Q52" s="23">
        <v>80</v>
      </c>
      <c r="R52" s="23">
        <v>180</v>
      </c>
      <c r="S52" s="34">
        <f t="shared" si="1"/>
        <v>24.691358024691358</v>
      </c>
      <c r="T52" s="25">
        <v>0</v>
      </c>
      <c r="U52" s="23">
        <v>0</v>
      </c>
      <c r="V52" s="23">
        <v>2</v>
      </c>
      <c r="W52" s="38">
        <v>43398.85</v>
      </c>
      <c r="X52" s="38">
        <v>43398.8569444444</v>
      </c>
      <c r="Y52" s="38">
        <v>43398.916666666701</v>
      </c>
      <c r="Z52" s="38">
        <v>43398.929861111101</v>
      </c>
      <c r="AA52" s="39">
        <f t="shared" si="2"/>
        <v>9.9999999382998794</v>
      </c>
      <c r="AB52" s="39">
        <f t="shared" si="3"/>
        <v>86.000000112690032</v>
      </c>
      <c r="AC52" s="39">
        <f t="shared" si="4"/>
        <v>96.000000050989911</v>
      </c>
      <c r="AD52" s="41">
        <v>0</v>
      </c>
      <c r="AE52" s="22">
        <v>0</v>
      </c>
      <c r="AF52" s="22"/>
      <c r="AG52" s="14">
        <v>1</v>
      </c>
      <c r="AH52" s="14">
        <v>1</v>
      </c>
      <c r="AI52" s="23">
        <v>0</v>
      </c>
      <c r="AJ52" s="23">
        <v>0</v>
      </c>
      <c r="AK52" s="23">
        <v>0</v>
      </c>
      <c r="AL52" s="23">
        <v>1</v>
      </c>
      <c r="AM52" s="10">
        <v>8</v>
      </c>
      <c r="AN52" s="10">
        <v>0</v>
      </c>
      <c r="AO52" s="94"/>
      <c r="AP52" s="94">
        <v>0</v>
      </c>
      <c r="AQ52" s="94">
        <v>0</v>
      </c>
      <c r="AR52" s="94">
        <v>0</v>
      </c>
      <c r="AS52" s="94">
        <v>0</v>
      </c>
      <c r="AT52" s="94">
        <v>0</v>
      </c>
      <c r="AU52" s="94">
        <v>0</v>
      </c>
      <c r="AV52" s="94">
        <v>0</v>
      </c>
      <c r="AW52" s="94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94"/>
      <c r="BI52" s="94"/>
      <c r="BJ52" s="10">
        <v>115</v>
      </c>
      <c r="BK52" s="12">
        <v>885</v>
      </c>
      <c r="BL52" s="10">
        <v>1110</v>
      </c>
      <c r="BM52" s="23">
        <v>1</v>
      </c>
      <c r="BN52" s="23">
        <v>1</v>
      </c>
      <c r="BO52" s="23">
        <v>0</v>
      </c>
      <c r="BP52" s="23">
        <v>1</v>
      </c>
      <c r="BQ52" s="23">
        <v>1</v>
      </c>
      <c r="BR52" s="23">
        <v>0</v>
      </c>
      <c r="BS52" s="23">
        <v>0</v>
      </c>
      <c r="BT52" s="96"/>
      <c r="BU52" s="38">
        <v>43398.951388888898</v>
      </c>
      <c r="BV52" s="38">
        <v>43399.09375</v>
      </c>
      <c r="BW52" s="38">
        <v>43399.055555555598</v>
      </c>
      <c r="BX52" s="38">
        <v>43399.114583333299</v>
      </c>
      <c r="BY52" s="43"/>
      <c r="BZ52" s="105"/>
      <c r="CA52" s="105"/>
      <c r="CB52" s="23">
        <v>1</v>
      </c>
      <c r="CC52" s="23">
        <v>0</v>
      </c>
      <c r="CD52" s="23">
        <v>1</v>
      </c>
      <c r="CE52" s="23">
        <v>0</v>
      </c>
      <c r="CF52" s="23">
        <v>0</v>
      </c>
      <c r="CG52" s="23"/>
      <c r="CH52" s="105"/>
      <c r="CI52" s="10">
        <v>1</v>
      </c>
      <c r="CJ52" s="10">
        <v>1</v>
      </c>
      <c r="CK52" s="10">
        <v>1</v>
      </c>
      <c r="CL52" s="10">
        <v>1</v>
      </c>
      <c r="CM52" s="10">
        <v>1</v>
      </c>
      <c r="CN52" s="10">
        <v>1</v>
      </c>
      <c r="CO52" s="10">
        <v>0</v>
      </c>
      <c r="CP52" s="10">
        <v>0</v>
      </c>
      <c r="CQ52" s="10">
        <v>0</v>
      </c>
      <c r="CR52" s="10">
        <v>0</v>
      </c>
      <c r="CS52" s="10">
        <v>0</v>
      </c>
      <c r="CT52" s="10">
        <v>0</v>
      </c>
      <c r="CU52" s="10">
        <v>1</v>
      </c>
      <c r="CV52" s="10">
        <v>0</v>
      </c>
      <c r="CW52" s="10">
        <v>0</v>
      </c>
      <c r="CX52" s="25">
        <v>0</v>
      </c>
      <c r="CY52" s="25">
        <v>5</v>
      </c>
      <c r="CZ52" s="25">
        <v>0</v>
      </c>
      <c r="DA52" s="25">
        <v>5</v>
      </c>
      <c r="DB52" s="25">
        <v>0</v>
      </c>
      <c r="DC52" s="105">
        <v>2</v>
      </c>
      <c r="DD52" s="25">
        <v>1</v>
      </c>
      <c r="DE52" s="25"/>
      <c r="DF52" s="25">
        <v>1</v>
      </c>
      <c r="DG52" s="25"/>
      <c r="DH52" s="25">
        <v>2</v>
      </c>
      <c r="DI52" s="25">
        <v>3</v>
      </c>
      <c r="DJ52" s="25">
        <v>0</v>
      </c>
      <c r="DK52" s="25">
        <v>0</v>
      </c>
      <c r="DL52" s="25">
        <v>0</v>
      </c>
      <c r="DM52" s="25">
        <v>0</v>
      </c>
      <c r="DN52" s="25">
        <v>0</v>
      </c>
      <c r="DO52" s="25">
        <v>0</v>
      </c>
      <c r="DP52" s="25">
        <v>0</v>
      </c>
      <c r="DQ52" s="25">
        <v>0</v>
      </c>
      <c r="DR52" s="25">
        <v>0</v>
      </c>
      <c r="DS52" s="25">
        <v>0</v>
      </c>
      <c r="DT52" s="26">
        <v>0</v>
      </c>
      <c r="DU52" s="26">
        <v>0</v>
      </c>
      <c r="DV52" s="26">
        <v>0</v>
      </c>
      <c r="DW52" s="26">
        <v>0</v>
      </c>
      <c r="DX52" s="26"/>
      <c r="DY52" s="10">
        <v>1.83</v>
      </c>
      <c r="EB52" s="10">
        <v>297</v>
      </c>
      <c r="ED52" s="10">
        <v>142</v>
      </c>
      <c r="EE52" s="10">
        <v>5.21</v>
      </c>
      <c r="EF52" s="10">
        <v>92</v>
      </c>
      <c r="EH52" s="10">
        <v>169</v>
      </c>
      <c r="EI52" s="10">
        <v>163</v>
      </c>
      <c r="EJ52" s="10">
        <v>34</v>
      </c>
      <c r="EK52" s="10">
        <v>0.2</v>
      </c>
      <c r="EL52" s="10">
        <v>9.1999999999999993</v>
      </c>
      <c r="EO52" s="94"/>
      <c r="ET52" s="10">
        <v>0</v>
      </c>
      <c r="EU52" s="10">
        <v>0</v>
      </c>
      <c r="EV52" s="10">
        <v>7</v>
      </c>
      <c r="EW52" s="94"/>
      <c r="EZ52" s="13"/>
      <c r="FI52" s="10">
        <v>1</v>
      </c>
      <c r="FJ52" s="10">
        <v>1</v>
      </c>
      <c r="FK52" s="10">
        <v>1</v>
      </c>
      <c r="FL52" s="10">
        <v>0</v>
      </c>
      <c r="FM52" s="10">
        <v>1</v>
      </c>
      <c r="FN52" s="10">
        <v>0</v>
      </c>
      <c r="FO52" s="10">
        <v>0</v>
      </c>
      <c r="FP52" s="10">
        <v>0</v>
      </c>
      <c r="FQ52" s="10">
        <v>4</v>
      </c>
      <c r="FR52" s="10">
        <v>1</v>
      </c>
      <c r="FS52" s="10">
        <v>0</v>
      </c>
      <c r="FU52" s="10">
        <v>2</v>
      </c>
      <c r="FV52" s="10">
        <v>4</v>
      </c>
      <c r="FW52" s="10">
        <v>0</v>
      </c>
      <c r="FX52" s="10">
        <v>0</v>
      </c>
      <c r="FY52" s="10">
        <v>0</v>
      </c>
      <c r="FZ52" s="10">
        <v>0</v>
      </c>
      <c r="GA52" s="10">
        <v>30</v>
      </c>
      <c r="GC52" s="52"/>
      <c r="GD52" s="10" t="s">
        <v>575</v>
      </c>
    </row>
    <row r="53" spans="1:187" s="10" customFormat="1" ht="15" x14ac:dyDescent="0.2">
      <c r="A53" s="23">
        <v>13399583</v>
      </c>
      <c r="B53" s="22">
        <v>0</v>
      </c>
      <c r="C53" s="29">
        <v>43376</v>
      </c>
      <c r="H53" s="10">
        <v>0</v>
      </c>
      <c r="I53" s="10">
        <v>0</v>
      </c>
      <c r="J53" s="23">
        <v>44</v>
      </c>
      <c r="K53" s="23">
        <v>1</v>
      </c>
      <c r="L53" s="23">
        <v>0</v>
      </c>
      <c r="M53" s="23">
        <v>1</v>
      </c>
      <c r="N53" s="23"/>
      <c r="O53" s="23">
        <v>5</v>
      </c>
      <c r="P53" s="94"/>
      <c r="Q53" s="23">
        <v>100</v>
      </c>
      <c r="R53" s="23">
        <v>180</v>
      </c>
      <c r="S53" s="34">
        <f t="shared" si="1"/>
        <v>30.864197530864196</v>
      </c>
      <c r="T53" s="25">
        <v>0</v>
      </c>
      <c r="U53" s="23">
        <v>1</v>
      </c>
      <c r="V53" s="23">
        <v>2</v>
      </c>
      <c r="W53" s="38">
        <v>43376.603472222203</v>
      </c>
      <c r="X53" s="38">
        <v>43376.609027777798</v>
      </c>
      <c r="Y53" s="38">
        <v>43376.65625</v>
      </c>
      <c r="Z53" s="38">
        <v>43376.660416666702</v>
      </c>
      <c r="AA53" s="39">
        <f t="shared" si="2"/>
        <v>8.000000057509169</v>
      </c>
      <c r="AB53" s="39">
        <f t="shared" si="3"/>
        <v>67.999999970197678</v>
      </c>
      <c r="AC53" s="39">
        <f t="shared" si="4"/>
        <v>76.000000027706847</v>
      </c>
      <c r="AD53" s="41">
        <v>0</v>
      </c>
      <c r="AE53" s="22">
        <v>0</v>
      </c>
      <c r="AF53" s="22"/>
      <c r="AG53" s="99">
        <v>1</v>
      </c>
      <c r="AH53" s="11">
        <v>2</v>
      </c>
      <c r="AI53" s="23">
        <v>1</v>
      </c>
      <c r="AJ53" s="23"/>
      <c r="AK53" s="23">
        <v>0</v>
      </c>
      <c r="AL53" s="23">
        <v>0</v>
      </c>
      <c r="AM53" s="10">
        <v>8</v>
      </c>
      <c r="AN53" s="10">
        <v>0</v>
      </c>
      <c r="AO53" s="10">
        <v>400</v>
      </c>
      <c r="AP53" s="10">
        <v>0</v>
      </c>
      <c r="AQ53" s="10">
        <v>1</v>
      </c>
      <c r="AR53" s="10">
        <v>0</v>
      </c>
      <c r="AS53" s="10">
        <v>0</v>
      </c>
      <c r="AT53" s="10">
        <v>0</v>
      </c>
      <c r="AU53" s="10">
        <v>0</v>
      </c>
      <c r="AV53" s="10">
        <v>1</v>
      </c>
      <c r="AW53" s="10">
        <v>1</v>
      </c>
      <c r="AX53" s="10">
        <v>0</v>
      </c>
      <c r="AY53" s="10">
        <v>0</v>
      </c>
      <c r="AZ53" s="10">
        <v>0</v>
      </c>
      <c r="BA53" s="10">
        <v>0</v>
      </c>
      <c r="BB53" s="10">
        <v>1</v>
      </c>
      <c r="BC53" s="10">
        <v>0</v>
      </c>
      <c r="BD53" s="10">
        <v>1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126</v>
      </c>
      <c r="BK53" s="12"/>
      <c r="BM53" s="23">
        <v>1</v>
      </c>
      <c r="BN53" s="23">
        <v>0</v>
      </c>
      <c r="BO53" s="23">
        <v>0</v>
      </c>
      <c r="BP53" s="23">
        <v>0</v>
      </c>
      <c r="BQ53" s="23">
        <v>0</v>
      </c>
      <c r="BR53" s="23">
        <v>0</v>
      </c>
      <c r="BS53" s="23">
        <v>0</v>
      </c>
      <c r="BT53" s="96"/>
      <c r="BU53" s="38">
        <v>43376.690972222197</v>
      </c>
      <c r="BV53" s="44"/>
      <c r="BW53" s="38">
        <v>43376.8215277778</v>
      </c>
      <c r="BX53" s="38">
        <v>43376.863888888904</v>
      </c>
      <c r="BY53" s="43"/>
      <c r="BZ53" s="25">
        <v>0</v>
      </c>
      <c r="CA53" s="25">
        <v>0</v>
      </c>
      <c r="CB53" s="23">
        <v>0</v>
      </c>
      <c r="CC53" s="23"/>
      <c r="CD53" s="23">
        <v>0</v>
      </c>
      <c r="CE53" s="23"/>
      <c r="CF53" s="23">
        <v>0</v>
      </c>
      <c r="CG53" s="23"/>
      <c r="CH53" s="105">
        <v>0</v>
      </c>
      <c r="CI53" s="10">
        <v>1</v>
      </c>
      <c r="CJ53" s="10">
        <v>0</v>
      </c>
      <c r="CK53" s="10">
        <v>0</v>
      </c>
      <c r="CL53" s="10">
        <v>1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25">
        <v>0</v>
      </c>
      <c r="CY53" s="25">
        <v>2</v>
      </c>
      <c r="CZ53" s="25">
        <v>0</v>
      </c>
      <c r="DA53" s="25">
        <v>2</v>
      </c>
      <c r="DB53" s="25">
        <v>0</v>
      </c>
      <c r="DC53" s="25">
        <v>0</v>
      </c>
      <c r="DD53" s="25">
        <v>0</v>
      </c>
      <c r="DE53" s="105">
        <v>0</v>
      </c>
      <c r="DF53" s="25">
        <v>0</v>
      </c>
      <c r="DG53" s="105">
        <v>0</v>
      </c>
      <c r="DH53" s="25">
        <v>0</v>
      </c>
      <c r="DI53" s="25">
        <v>2</v>
      </c>
      <c r="DJ53" s="25">
        <v>0</v>
      </c>
      <c r="DK53" s="25">
        <v>0</v>
      </c>
      <c r="DL53" s="25">
        <v>0</v>
      </c>
      <c r="DM53" s="25">
        <v>0</v>
      </c>
      <c r="DN53" s="25">
        <v>0</v>
      </c>
      <c r="DO53" s="25">
        <v>0</v>
      </c>
      <c r="DP53" s="25">
        <v>0</v>
      </c>
      <c r="DQ53" s="25">
        <v>0</v>
      </c>
      <c r="DR53" s="25">
        <v>1</v>
      </c>
      <c r="DS53" s="25">
        <v>0</v>
      </c>
      <c r="DT53" s="26">
        <v>0</v>
      </c>
      <c r="DU53" s="26">
        <v>1</v>
      </c>
      <c r="DV53" s="26">
        <v>0</v>
      </c>
      <c r="DW53" s="26">
        <v>0</v>
      </c>
      <c r="DX53" s="26"/>
      <c r="DY53" s="10">
        <v>1.33</v>
      </c>
      <c r="DZ53" s="10">
        <v>0.91</v>
      </c>
      <c r="EA53" s="10">
        <v>122</v>
      </c>
      <c r="EB53" s="10">
        <v>501</v>
      </c>
      <c r="ED53" s="10">
        <v>145</v>
      </c>
      <c r="EE53" s="10">
        <v>4.5999999999999996</v>
      </c>
      <c r="EF53" s="10">
        <v>103</v>
      </c>
      <c r="EH53" s="10">
        <v>227</v>
      </c>
      <c r="EJ53" s="10">
        <v>36</v>
      </c>
      <c r="EL53" s="10">
        <v>8.9</v>
      </c>
      <c r="EM53" s="10">
        <v>10.3</v>
      </c>
      <c r="EN53" s="10">
        <v>2.8</v>
      </c>
      <c r="EO53" s="94">
        <v>0</v>
      </c>
      <c r="EP53" s="10">
        <v>74</v>
      </c>
      <c r="EQ53" s="10">
        <v>40</v>
      </c>
      <c r="ES53" s="10">
        <v>19.5</v>
      </c>
      <c r="ET53" s="10">
        <v>0</v>
      </c>
      <c r="EU53" s="10">
        <v>0</v>
      </c>
      <c r="EV53" s="10">
        <v>7.5</v>
      </c>
      <c r="EW53" s="94"/>
      <c r="EZ53" s="13"/>
      <c r="FD53" s="10">
        <v>7.09</v>
      </c>
      <c r="FE53" s="10">
        <v>7.53</v>
      </c>
      <c r="FF53" s="10" t="s">
        <v>599</v>
      </c>
      <c r="FI53" s="10">
        <v>1</v>
      </c>
      <c r="FJ53" s="10">
        <v>1</v>
      </c>
      <c r="FK53" s="10">
        <v>1</v>
      </c>
      <c r="FL53" s="10">
        <v>2</v>
      </c>
      <c r="FM53" s="10">
        <v>0</v>
      </c>
      <c r="FN53" s="10">
        <v>0</v>
      </c>
      <c r="FO53" s="10">
        <v>0</v>
      </c>
      <c r="FP53" s="10">
        <v>1</v>
      </c>
      <c r="FQ53" s="10">
        <v>5</v>
      </c>
      <c r="FR53" s="10">
        <v>1</v>
      </c>
      <c r="FS53" s="10">
        <v>0</v>
      </c>
      <c r="FU53" s="10">
        <v>2</v>
      </c>
      <c r="FV53" s="10">
        <v>1</v>
      </c>
      <c r="FW53" s="10">
        <v>0</v>
      </c>
      <c r="FX53" s="10">
        <v>0</v>
      </c>
      <c r="FY53" s="10">
        <v>1</v>
      </c>
      <c r="FZ53" s="10">
        <v>0</v>
      </c>
      <c r="GA53" s="10">
        <v>40</v>
      </c>
      <c r="GC53" s="52"/>
      <c r="GD53" s="10" t="s">
        <v>598</v>
      </c>
    </row>
    <row r="54" spans="1:187" s="10" customFormat="1" ht="15" x14ac:dyDescent="0.2">
      <c r="A54" s="23">
        <v>13397656</v>
      </c>
      <c r="B54" s="22">
        <v>0</v>
      </c>
      <c r="C54" s="29">
        <v>43368</v>
      </c>
      <c r="D54" s="10">
        <v>28</v>
      </c>
      <c r="E54" s="10">
        <v>26</v>
      </c>
      <c r="F54" s="10">
        <v>16</v>
      </c>
      <c r="G54" s="10">
        <f t="shared" si="0"/>
        <v>-12</v>
      </c>
      <c r="H54" s="10">
        <v>0</v>
      </c>
      <c r="I54" s="10">
        <v>0</v>
      </c>
      <c r="J54" s="23">
        <v>49</v>
      </c>
      <c r="K54" s="23">
        <v>0</v>
      </c>
      <c r="L54" s="23">
        <v>0</v>
      </c>
      <c r="M54" s="23">
        <v>1</v>
      </c>
      <c r="N54" s="23"/>
      <c r="O54" s="23">
        <v>0</v>
      </c>
      <c r="P54" s="94"/>
      <c r="Q54" s="23">
        <v>80</v>
      </c>
      <c r="R54" s="23">
        <v>170</v>
      </c>
      <c r="S54" s="34">
        <f t="shared" si="1"/>
        <v>27.681660899653981</v>
      </c>
      <c r="T54" s="25">
        <v>0</v>
      </c>
      <c r="U54" s="23">
        <v>1</v>
      </c>
      <c r="V54" s="23">
        <v>3</v>
      </c>
      <c r="W54" s="38">
        <v>43368.489583333299</v>
      </c>
      <c r="X54" s="38">
        <v>43368.496527777803</v>
      </c>
      <c r="Y54" s="38">
        <v>43368.548611111102</v>
      </c>
      <c r="Z54" s="38">
        <v>43368.554166666698</v>
      </c>
      <c r="AA54" s="39">
        <f t="shared" si="2"/>
        <v>10.000000084983185</v>
      </c>
      <c r="AB54" s="39">
        <f t="shared" si="3"/>
        <v>74.999999951105565</v>
      </c>
      <c r="AC54" s="39">
        <f t="shared" si="4"/>
        <v>85.00000003608875</v>
      </c>
      <c r="AD54" s="41">
        <v>0</v>
      </c>
      <c r="AE54" s="22">
        <v>1</v>
      </c>
      <c r="AF54" s="22">
        <v>0</v>
      </c>
      <c r="AG54" s="99">
        <v>1</v>
      </c>
      <c r="AH54" s="11">
        <v>2</v>
      </c>
      <c r="AI54" s="23">
        <v>1</v>
      </c>
      <c r="AJ54" s="23"/>
      <c r="AK54" s="23">
        <v>0</v>
      </c>
      <c r="AL54" s="23">
        <v>0</v>
      </c>
      <c r="AM54" s="10">
        <v>8</v>
      </c>
      <c r="AN54" s="10">
        <v>1</v>
      </c>
      <c r="AO54" s="94"/>
      <c r="AP54" s="94">
        <v>0</v>
      </c>
      <c r="AQ54" s="94">
        <v>0</v>
      </c>
      <c r="AR54" s="94">
        <v>0</v>
      </c>
      <c r="AS54" s="94">
        <v>0</v>
      </c>
      <c r="AT54" s="94">
        <v>0</v>
      </c>
      <c r="AU54" s="94">
        <v>0</v>
      </c>
      <c r="AV54" s="94">
        <v>0</v>
      </c>
      <c r="AW54" s="94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1</v>
      </c>
      <c r="BC54" s="10">
        <v>0</v>
      </c>
      <c r="BD54" s="10">
        <v>1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125</v>
      </c>
      <c r="BK54" s="12"/>
      <c r="BM54" s="23">
        <v>1</v>
      </c>
      <c r="BN54" s="23">
        <v>0</v>
      </c>
      <c r="BO54" s="23">
        <v>0</v>
      </c>
      <c r="BP54" s="23">
        <v>0</v>
      </c>
      <c r="BQ54" s="23">
        <v>0</v>
      </c>
      <c r="BR54" s="23">
        <v>0</v>
      </c>
      <c r="BS54" s="23">
        <v>0</v>
      </c>
      <c r="BT54" s="96"/>
      <c r="BU54" s="38">
        <v>43368.576388888898</v>
      </c>
      <c r="BV54" s="38">
        <v>43368.576388888898</v>
      </c>
      <c r="BW54" s="38">
        <v>43368.625</v>
      </c>
      <c r="BX54" s="38">
        <v>43368.670138888898</v>
      </c>
      <c r="BY54" s="38">
        <v>43368.670138888898</v>
      </c>
      <c r="BZ54" s="25">
        <v>0</v>
      </c>
      <c r="CA54" s="25">
        <v>0</v>
      </c>
      <c r="CB54" s="23">
        <v>1</v>
      </c>
      <c r="CC54" s="23">
        <v>0</v>
      </c>
      <c r="CD54" s="23">
        <v>1</v>
      </c>
      <c r="CE54" s="23">
        <v>0</v>
      </c>
      <c r="CF54" s="23">
        <v>0</v>
      </c>
      <c r="CG54" s="23"/>
      <c r="CH54" s="105">
        <v>0</v>
      </c>
      <c r="CI54" s="10">
        <v>1</v>
      </c>
      <c r="CJ54" s="10">
        <v>0</v>
      </c>
      <c r="CK54" s="10">
        <v>0</v>
      </c>
      <c r="CL54" s="10">
        <v>1</v>
      </c>
      <c r="CM54" s="10">
        <v>0</v>
      </c>
      <c r="CN54" s="10">
        <v>0</v>
      </c>
      <c r="CO54" s="10">
        <v>0</v>
      </c>
      <c r="CP54" s="10">
        <v>0</v>
      </c>
      <c r="CQ54" s="10">
        <v>0</v>
      </c>
      <c r="CR54" s="10">
        <v>0</v>
      </c>
      <c r="CS54" s="10">
        <v>0</v>
      </c>
      <c r="CT54" s="10">
        <v>0</v>
      </c>
      <c r="CU54" s="10">
        <v>0</v>
      </c>
      <c r="CV54" s="10">
        <v>0</v>
      </c>
      <c r="CW54" s="10">
        <v>0</v>
      </c>
      <c r="CX54" s="25">
        <v>0</v>
      </c>
      <c r="CY54" s="25">
        <v>0</v>
      </c>
      <c r="CZ54" s="25">
        <v>0</v>
      </c>
      <c r="DA54" s="25">
        <v>0</v>
      </c>
      <c r="DB54" s="25">
        <v>0</v>
      </c>
      <c r="DC54" s="25">
        <v>4</v>
      </c>
      <c r="DD54" s="25">
        <v>0</v>
      </c>
      <c r="DE54" s="105">
        <v>5</v>
      </c>
      <c r="DF54" s="25">
        <v>0</v>
      </c>
      <c r="DG54" s="105">
        <v>5</v>
      </c>
      <c r="DH54" s="25">
        <v>0</v>
      </c>
      <c r="DI54" s="25">
        <v>0</v>
      </c>
      <c r="DJ54" s="25">
        <v>0</v>
      </c>
      <c r="DK54" s="25">
        <v>0</v>
      </c>
      <c r="DL54" s="25">
        <v>0</v>
      </c>
      <c r="DM54" s="25">
        <v>0</v>
      </c>
      <c r="DN54" s="25">
        <v>0</v>
      </c>
      <c r="DO54" s="25">
        <v>0</v>
      </c>
      <c r="DP54" s="25">
        <v>0</v>
      </c>
      <c r="DQ54" s="25">
        <v>0</v>
      </c>
      <c r="DR54" s="25">
        <v>0</v>
      </c>
      <c r="DS54" s="25">
        <v>0</v>
      </c>
      <c r="DT54" s="26">
        <v>1</v>
      </c>
      <c r="DU54" s="26">
        <v>0</v>
      </c>
      <c r="DV54" s="26">
        <v>0</v>
      </c>
      <c r="DW54" s="26">
        <v>0</v>
      </c>
      <c r="DX54" s="26"/>
      <c r="DZ54" s="10">
        <v>0.96</v>
      </c>
      <c r="EA54" s="10">
        <v>198</v>
      </c>
      <c r="EB54" s="10">
        <v>98</v>
      </c>
      <c r="ED54" s="10">
        <v>140</v>
      </c>
      <c r="EE54" s="10">
        <v>4.2</v>
      </c>
      <c r="EF54" s="10">
        <v>102</v>
      </c>
      <c r="EG54" s="10">
        <v>1192</v>
      </c>
      <c r="EH54" s="10">
        <v>206</v>
      </c>
      <c r="EI54" s="10">
        <v>185</v>
      </c>
      <c r="EJ54" s="10">
        <v>61</v>
      </c>
      <c r="EK54" s="10">
        <v>0</v>
      </c>
      <c r="EL54" s="10">
        <v>8.9</v>
      </c>
      <c r="EM54" s="10">
        <v>9.8000000000000007</v>
      </c>
      <c r="EN54" s="10">
        <v>2.5</v>
      </c>
      <c r="EO54" s="94">
        <v>1</v>
      </c>
      <c r="EP54" s="10">
        <v>56</v>
      </c>
      <c r="EQ54" s="10">
        <v>33</v>
      </c>
      <c r="ES54" s="10">
        <v>8.94</v>
      </c>
      <c r="ET54" s="10">
        <v>1</v>
      </c>
      <c r="EU54" s="10">
        <v>0</v>
      </c>
      <c r="EV54" s="10">
        <v>8</v>
      </c>
      <c r="EW54" s="10">
        <v>1</v>
      </c>
      <c r="EX54" s="10">
        <v>500</v>
      </c>
      <c r="EY54" s="10">
        <v>12</v>
      </c>
      <c r="EZ54" s="13"/>
      <c r="FA54" s="10">
        <v>1</v>
      </c>
      <c r="FD54" s="10">
        <v>7.33</v>
      </c>
      <c r="FE54" s="10">
        <v>7.64</v>
      </c>
      <c r="FF54" s="10" t="s">
        <v>597</v>
      </c>
      <c r="FI54" s="10">
        <v>1</v>
      </c>
      <c r="FJ54" s="10">
        <v>1</v>
      </c>
      <c r="FK54" s="10">
        <v>1</v>
      </c>
      <c r="FL54" s="10">
        <v>2</v>
      </c>
      <c r="FM54" s="10">
        <v>0</v>
      </c>
      <c r="FN54" s="10">
        <v>0</v>
      </c>
      <c r="FO54" s="10">
        <v>0</v>
      </c>
      <c r="FP54" s="10">
        <v>0</v>
      </c>
      <c r="FQ54" s="10">
        <v>3</v>
      </c>
      <c r="FR54" s="10">
        <v>1</v>
      </c>
      <c r="FS54" s="10">
        <v>0</v>
      </c>
      <c r="FU54" s="10">
        <v>1</v>
      </c>
      <c r="FV54" s="10">
        <v>0</v>
      </c>
      <c r="FW54" s="10">
        <v>0</v>
      </c>
      <c r="FX54" s="10">
        <v>0</v>
      </c>
      <c r="FY54" s="10">
        <v>0</v>
      </c>
      <c r="FZ54" s="10">
        <v>4</v>
      </c>
      <c r="GA54" s="10">
        <v>54</v>
      </c>
      <c r="GC54" s="52" t="s">
        <v>487</v>
      </c>
      <c r="GD54" s="10" t="s">
        <v>515</v>
      </c>
    </row>
    <row r="55" spans="1:187" s="10" customFormat="1" ht="15" x14ac:dyDescent="0.2">
      <c r="A55" s="23">
        <v>13395604</v>
      </c>
      <c r="B55" s="22">
        <v>0</v>
      </c>
      <c r="C55" s="29">
        <v>43360</v>
      </c>
      <c r="F55" s="10">
        <v>15</v>
      </c>
      <c r="H55" s="10">
        <v>0</v>
      </c>
      <c r="I55" s="10">
        <v>0</v>
      </c>
      <c r="J55" s="23">
        <v>47</v>
      </c>
      <c r="K55" s="23">
        <v>2</v>
      </c>
      <c r="L55" s="23">
        <v>0</v>
      </c>
      <c r="M55" s="23">
        <v>1</v>
      </c>
      <c r="N55" s="23"/>
      <c r="O55" s="23">
        <v>3</v>
      </c>
      <c r="P55" s="94"/>
      <c r="Q55" s="23">
        <v>80</v>
      </c>
      <c r="R55" s="23">
        <v>176</v>
      </c>
      <c r="S55" s="34">
        <f t="shared" si="1"/>
        <v>25.826446280991735</v>
      </c>
      <c r="T55" s="25">
        <v>0</v>
      </c>
      <c r="U55" s="23">
        <v>1</v>
      </c>
      <c r="V55" s="23">
        <v>3</v>
      </c>
      <c r="W55" s="38">
        <v>43360.777777777803</v>
      </c>
      <c r="X55" s="38">
        <v>43360.781944444403</v>
      </c>
      <c r="Y55" s="38">
        <v>43360.829861111102</v>
      </c>
      <c r="Z55" s="38">
        <v>43360.840277777803</v>
      </c>
      <c r="AA55" s="39">
        <f t="shared" si="2"/>
        <v>5.9999999043066055</v>
      </c>
      <c r="AB55" s="39">
        <f t="shared" si="3"/>
        <v>69.000000046798959</v>
      </c>
      <c r="AC55" s="39">
        <f t="shared" si="4"/>
        <v>74.999999951105565</v>
      </c>
      <c r="AD55" s="41">
        <v>0</v>
      </c>
      <c r="AE55" s="22">
        <v>0</v>
      </c>
      <c r="AF55" s="22"/>
      <c r="AG55" s="99"/>
      <c r="AH55" s="11">
        <v>1</v>
      </c>
      <c r="AI55" s="23">
        <v>1</v>
      </c>
      <c r="AJ55" s="23"/>
      <c r="AK55" s="23">
        <v>0</v>
      </c>
      <c r="AL55" s="23">
        <v>0</v>
      </c>
      <c r="AM55" s="10">
        <v>9</v>
      </c>
      <c r="AN55" s="10">
        <v>0</v>
      </c>
      <c r="AO55" s="94"/>
      <c r="AP55" s="94">
        <v>0</v>
      </c>
      <c r="AQ55" s="94">
        <v>0</v>
      </c>
      <c r="AR55" s="94">
        <v>0</v>
      </c>
      <c r="AS55" s="94">
        <v>0</v>
      </c>
      <c r="AT55" s="94">
        <v>0</v>
      </c>
      <c r="AU55" s="94">
        <v>0</v>
      </c>
      <c r="AV55" s="94">
        <v>0</v>
      </c>
      <c r="AW55" s="94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1</v>
      </c>
      <c r="BD55" s="10">
        <v>0</v>
      </c>
      <c r="BE55" s="10">
        <v>0</v>
      </c>
      <c r="BF55" s="10">
        <v>1</v>
      </c>
      <c r="BG55" s="10">
        <v>1</v>
      </c>
      <c r="BH55" s="94"/>
      <c r="BI55" s="94"/>
      <c r="BJ55" s="10">
        <v>120</v>
      </c>
      <c r="BK55" s="12"/>
      <c r="BM55" s="23">
        <v>1</v>
      </c>
      <c r="BN55" s="23">
        <v>0</v>
      </c>
      <c r="BO55" s="23">
        <v>0</v>
      </c>
      <c r="BP55" s="23">
        <v>1</v>
      </c>
      <c r="BQ55" s="23">
        <v>1</v>
      </c>
      <c r="BR55" s="23">
        <v>0</v>
      </c>
      <c r="BS55" s="23">
        <v>0</v>
      </c>
      <c r="BT55" s="96"/>
      <c r="BU55" s="38">
        <v>43360.861111111102</v>
      </c>
      <c r="BV55" s="38">
        <v>43360.96875</v>
      </c>
      <c r="BW55" s="38">
        <v>43360.934027777803</v>
      </c>
      <c r="BX55" s="38">
        <v>43360.986111111102</v>
      </c>
      <c r="BY55" s="38">
        <v>43360.96875</v>
      </c>
      <c r="BZ55" s="25">
        <v>0</v>
      </c>
      <c r="CA55" s="25">
        <v>0</v>
      </c>
      <c r="CB55" s="23">
        <v>1</v>
      </c>
      <c r="CC55" s="23">
        <v>0</v>
      </c>
      <c r="CD55" s="23">
        <v>1</v>
      </c>
      <c r="CE55" s="23">
        <v>0</v>
      </c>
      <c r="CF55" s="23">
        <v>0</v>
      </c>
      <c r="CG55" s="23"/>
      <c r="CH55" s="105">
        <v>0</v>
      </c>
      <c r="CI55" s="10">
        <v>1</v>
      </c>
      <c r="CJ55" s="10">
        <v>0</v>
      </c>
      <c r="CK55" s="10">
        <v>0</v>
      </c>
      <c r="CL55" s="10">
        <v>1</v>
      </c>
      <c r="CM55" s="10">
        <v>0</v>
      </c>
      <c r="CN55" s="10">
        <v>0</v>
      </c>
      <c r="CO55" s="10">
        <v>0</v>
      </c>
      <c r="CP55" s="10">
        <v>0</v>
      </c>
      <c r="CQ55" s="10">
        <v>0</v>
      </c>
      <c r="CR55" s="10">
        <v>0</v>
      </c>
      <c r="CS55" s="10">
        <v>0</v>
      </c>
      <c r="CT55" s="10">
        <v>0</v>
      </c>
      <c r="CU55" s="10">
        <v>0</v>
      </c>
      <c r="CV55" s="10">
        <v>0</v>
      </c>
      <c r="CW55" s="10">
        <v>0</v>
      </c>
      <c r="CX55" s="25">
        <v>0</v>
      </c>
      <c r="CY55" s="25">
        <v>2</v>
      </c>
      <c r="CZ55" s="25">
        <v>0</v>
      </c>
      <c r="DA55" s="25">
        <v>2</v>
      </c>
      <c r="DB55" s="25">
        <v>0</v>
      </c>
      <c r="DC55" s="25">
        <v>4</v>
      </c>
      <c r="DD55" s="25">
        <v>0</v>
      </c>
      <c r="DE55" s="105">
        <v>0</v>
      </c>
      <c r="DF55" s="25">
        <v>0</v>
      </c>
      <c r="DG55" s="105">
        <v>0</v>
      </c>
      <c r="DH55" s="25">
        <v>0</v>
      </c>
      <c r="DI55" s="25">
        <v>2</v>
      </c>
      <c r="DJ55" s="25">
        <v>0</v>
      </c>
      <c r="DK55" s="25">
        <v>0</v>
      </c>
      <c r="DL55" s="25">
        <v>1</v>
      </c>
      <c r="DM55" s="25">
        <v>0</v>
      </c>
      <c r="DN55" s="25">
        <v>0</v>
      </c>
      <c r="DO55" s="25">
        <v>0</v>
      </c>
      <c r="DP55" s="25">
        <v>0</v>
      </c>
      <c r="DQ55" s="25">
        <v>0</v>
      </c>
      <c r="DR55" s="25">
        <v>1</v>
      </c>
      <c r="DS55" s="25">
        <v>1</v>
      </c>
      <c r="DT55" s="26">
        <v>1</v>
      </c>
      <c r="DU55" s="26">
        <v>1</v>
      </c>
      <c r="DV55" s="26">
        <v>1</v>
      </c>
      <c r="DW55" s="26">
        <v>0</v>
      </c>
      <c r="DX55" s="26"/>
      <c r="DY55" s="10">
        <v>1.74</v>
      </c>
      <c r="DZ55" s="10">
        <v>0.94</v>
      </c>
      <c r="EA55" s="10">
        <v>115</v>
      </c>
      <c r="EO55" s="94">
        <v>0</v>
      </c>
      <c r="EP55" s="10">
        <v>119</v>
      </c>
      <c r="EQ55" s="10">
        <v>9</v>
      </c>
      <c r="ES55" s="10">
        <v>12.9</v>
      </c>
      <c r="ET55" s="10">
        <v>1</v>
      </c>
      <c r="EU55" s="10">
        <v>0</v>
      </c>
      <c r="EV55" s="10">
        <v>8.5</v>
      </c>
      <c r="EW55" s="94"/>
      <c r="EY55" s="10">
        <v>16</v>
      </c>
      <c r="EZ55" s="13"/>
      <c r="FA55" s="10">
        <v>0.5</v>
      </c>
      <c r="FD55" s="10">
        <v>7.07</v>
      </c>
      <c r="FE55" s="10">
        <v>7.2</v>
      </c>
      <c r="FF55" s="10" t="s">
        <v>596</v>
      </c>
      <c r="FI55" s="10">
        <v>1</v>
      </c>
      <c r="FJ55" s="10">
        <v>1</v>
      </c>
      <c r="FK55" s="10">
        <v>1</v>
      </c>
      <c r="FL55" s="10">
        <v>0</v>
      </c>
      <c r="FM55" s="10">
        <v>0</v>
      </c>
      <c r="FN55" s="10">
        <v>0</v>
      </c>
      <c r="FO55" s="10">
        <v>0</v>
      </c>
      <c r="FP55" s="10">
        <v>1</v>
      </c>
      <c r="FQ55" s="10">
        <v>2</v>
      </c>
      <c r="FR55" s="10">
        <v>3</v>
      </c>
      <c r="FS55" s="10">
        <v>0</v>
      </c>
      <c r="FT55" s="10">
        <v>30</v>
      </c>
      <c r="FU55" s="10">
        <v>1</v>
      </c>
      <c r="FV55" s="10">
        <v>1</v>
      </c>
      <c r="FW55" s="10">
        <v>0</v>
      </c>
      <c r="FX55" s="10">
        <v>0</v>
      </c>
      <c r="FY55" s="10">
        <v>1</v>
      </c>
      <c r="FZ55" s="10">
        <v>0</v>
      </c>
      <c r="GA55" s="10">
        <v>45</v>
      </c>
      <c r="GC55" s="52" t="s">
        <v>514</v>
      </c>
      <c r="GD55" s="10" t="s">
        <v>595</v>
      </c>
    </row>
    <row r="56" spans="1:187" s="10" customFormat="1" ht="15" x14ac:dyDescent="0.2">
      <c r="A56" s="22">
        <v>13389050</v>
      </c>
      <c r="B56" s="22">
        <v>0</v>
      </c>
      <c r="C56" s="29">
        <v>43326</v>
      </c>
      <c r="D56" s="10">
        <v>29</v>
      </c>
      <c r="E56" s="10">
        <v>19</v>
      </c>
      <c r="F56" s="10">
        <v>20</v>
      </c>
      <c r="G56" s="10">
        <f t="shared" si="0"/>
        <v>-9</v>
      </c>
      <c r="H56" s="10">
        <v>1</v>
      </c>
      <c r="I56" s="10">
        <v>0</v>
      </c>
      <c r="J56" s="23">
        <v>54</v>
      </c>
      <c r="K56" s="23">
        <v>2</v>
      </c>
      <c r="L56" s="23">
        <v>0</v>
      </c>
      <c r="M56" s="23">
        <v>1</v>
      </c>
      <c r="N56" s="23"/>
      <c r="O56" s="23">
        <v>2</v>
      </c>
      <c r="P56" s="94"/>
      <c r="Q56" s="23">
        <v>95</v>
      </c>
      <c r="R56" s="23">
        <v>175</v>
      </c>
      <c r="S56" s="34">
        <f t="shared" si="1"/>
        <v>31.020408163265305</v>
      </c>
      <c r="T56" s="25">
        <v>0</v>
      </c>
      <c r="U56" s="23">
        <v>0</v>
      </c>
      <c r="V56" s="23">
        <v>2</v>
      </c>
      <c r="W56" s="38">
        <v>43326.680555555598</v>
      </c>
      <c r="X56" s="38">
        <v>43326.690972222197</v>
      </c>
      <c r="Y56" s="38">
        <v>43326.756944444402</v>
      </c>
      <c r="Z56" s="38">
        <v>43326.767361111102</v>
      </c>
      <c r="AA56" s="39">
        <f t="shared" si="2"/>
        <v>14.99999990221113</v>
      </c>
      <c r="AB56" s="39">
        <f t="shared" si="3"/>
        <v>94.999999974388629</v>
      </c>
      <c r="AC56" s="39">
        <f t="shared" si="4"/>
        <v>109.99999987659976</v>
      </c>
      <c r="AD56" s="41">
        <v>0</v>
      </c>
      <c r="AE56" s="22">
        <v>1</v>
      </c>
      <c r="AF56" s="22">
        <v>2</v>
      </c>
      <c r="AG56" s="14">
        <v>1</v>
      </c>
      <c r="AH56" s="14">
        <v>1</v>
      </c>
      <c r="AI56" s="23">
        <v>0</v>
      </c>
      <c r="AJ56" s="23">
        <v>0</v>
      </c>
      <c r="AK56" s="23">
        <v>0</v>
      </c>
      <c r="AL56" s="23">
        <v>1</v>
      </c>
      <c r="AM56" s="94">
        <v>5</v>
      </c>
      <c r="AN56" s="94">
        <v>0</v>
      </c>
      <c r="AO56" s="94"/>
      <c r="AP56" s="94">
        <v>0</v>
      </c>
      <c r="AQ56" s="94">
        <v>0</v>
      </c>
      <c r="AR56" s="94">
        <v>0</v>
      </c>
      <c r="AS56" s="94">
        <v>0</v>
      </c>
      <c r="AT56" s="94">
        <v>0</v>
      </c>
      <c r="AU56" s="94">
        <v>0</v>
      </c>
      <c r="AV56" s="94">
        <v>0</v>
      </c>
      <c r="AW56" s="94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1</v>
      </c>
      <c r="BD56" s="10">
        <v>1</v>
      </c>
      <c r="BE56" s="10">
        <v>0</v>
      </c>
      <c r="BF56" s="10">
        <v>1</v>
      </c>
      <c r="BG56" s="10">
        <v>0</v>
      </c>
      <c r="BH56" s="10">
        <v>0</v>
      </c>
      <c r="BI56" s="10">
        <v>0</v>
      </c>
      <c r="BJ56" s="10">
        <v>135</v>
      </c>
      <c r="BK56" s="12">
        <v>845</v>
      </c>
      <c r="BL56" s="10">
        <v>655</v>
      </c>
      <c r="BM56" s="23">
        <v>1</v>
      </c>
      <c r="BN56" s="23">
        <v>1</v>
      </c>
      <c r="BO56" s="23">
        <v>0</v>
      </c>
      <c r="BP56" s="23">
        <v>1</v>
      </c>
      <c r="BQ56" s="23">
        <v>1</v>
      </c>
      <c r="BR56" s="23">
        <v>0</v>
      </c>
      <c r="BS56" s="23">
        <v>0</v>
      </c>
      <c r="BT56" s="96"/>
      <c r="BU56" s="38">
        <v>43326.784722222197</v>
      </c>
      <c r="BV56" s="38">
        <v>43326.954861111102</v>
      </c>
      <c r="BW56" s="38">
        <v>43326.909722222197</v>
      </c>
      <c r="BX56" s="38">
        <v>43326.982638888898</v>
      </c>
      <c r="BY56" s="38">
        <v>43326.954861111102</v>
      </c>
      <c r="BZ56" s="105"/>
      <c r="CA56" s="25">
        <v>0</v>
      </c>
      <c r="CB56" s="23">
        <v>1</v>
      </c>
      <c r="CC56" s="23">
        <v>0</v>
      </c>
      <c r="CD56" s="23">
        <v>1</v>
      </c>
      <c r="CE56" s="23">
        <v>0</v>
      </c>
      <c r="CF56" s="23">
        <v>0</v>
      </c>
      <c r="CG56" s="23"/>
      <c r="CH56" s="105">
        <v>0</v>
      </c>
      <c r="CI56" s="10">
        <v>1</v>
      </c>
      <c r="CJ56" s="10">
        <v>1</v>
      </c>
      <c r="CK56" s="10">
        <v>1</v>
      </c>
      <c r="CL56" s="10">
        <v>1</v>
      </c>
      <c r="CM56" s="10">
        <v>1</v>
      </c>
      <c r="CN56" s="10">
        <v>1</v>
      </c>
      <c r="CO56" s="10">
        <v>0</v>
      </c>
      <c r="CP56" s="10">
        <v>0</v>
      </c>
      <c r="CQ56" s="10">
        <v>0</v>
      </c>
      <c r="CR56" s="10">
        <v>0</v>
      </c>
      <c r="CS56" s="10">
        <v>0</v>
      </c>
      <c r="CT56" s="10">
        <v>0</v>
      </c>
      <c r="CU56" s="10">
        <v>1</v>
      </c>
      <c r="CV56" s="10">
        <v>0</v>
      </c>
      <c r="CW56" s="10">
        <v>0</v>
      </c>
      <c r="CX56" s="25">
        <v>0</v>
      </c>
      <c r="CY56" s="25">
        <v>5</v>
      </c>
      <c r="CZ56" s="25">
        <v>0</v>
      </c>
      <c r="DA56" s="25">
        <v>5</v>
      </c>
      <c r="DB56" s="105">
        <v>0</v>
      </c>
      <c r="DC56" s="105">
        <v>2</v>
      </c>
      <c r="DD56" s="25">
        <v>1</v>
      </c>
      <c r="DE56" s="25"/>
      <c r="DF56" s="25">
        <v>1</v>
      </c>
      <c r="DG56" s="105"/>
      <c r="DH56" s="25">
        <v>2</v>
      </c>
      <c r="DI56" s="25">
        <v>0</v>
      </c>
      <c r="DJ56" s="25">
        <v>0</v>
      </c>
      <c r="DK56" s="25">
        <v>0</v>
      </c>
      <c r="DL56" s="25">
        <v>0</v>
      </c>
      <c r="DM56" s="25">
        <v>0</v>
      </c>
      <c r="DN56" s="25">
        <v>0</v>
      </c>
      <c r="DO56" s="25">
        <v>0</v>
      </c>
      <c r="DP56" s="25">
        <v>0</v>
      </c>
      <c r="DQ56" s="25">
        <v>0</v>
      </c>
      <c r="DR56" s="25">
        <v>1</v>
      </c>
      <c r="DS56" s="25">
        <v>0</v>
      </c>
      <c r="DT56" s="26">
        <v>0</v>
      </c>
      <c r="DU56" s="26">
        <v>0</v>
      </c>
      <c r="DV56" s="26">
        <v>0</v>
      </c>
      <c r="DW56" s="26">
        <v>0</v>
      </c>
      <c r="DX56" s="26"/>
      <c r="DY56" s="10">
        <v>1.57</v>
      </c>
      <c r="DZ56" s="10">
        <v>0.7</v>
      </c>
      <c r="EA56" s="10">
        <v>104</v>
      </c>
      <c r="EB56" s="10">
        <v>73</v>
      </c>
      <c r="ED56" s="10">
        <v>166</v>
      </c>
      <c r="EE56" s="10">
        <v>7.08</v>
      </c>
      <c r="EF56" s="10">
        <v>96</v>
      </c>
      <c r="EH56" s="10">
        <v>140</v>
      </c>
      <c r="EI56" s="10">
        <v>150</v>
      </c>
      <c r="EJ56" s="10">
        <v>49</v>
      </c>
      <c r="EK56" s="10">
        <v>0.2</v>
      </c>
      <c r="EL56" s="10" t="s">
        <v>876</v>
      </c>
      <c r="EO56" s="94"/>
      <c r="ET56" s="10">
        <v>0</v>
      </c>
      <c r="EU56" s="10">
        <v>0</v>
      </c>
      <c r="EV56" s="10">
        <v>7.5</v>
      </c>
      <c r="EW56" s="94"/>
      <c r="EZ56" s="13"/>
      <c r="FA56" s="10">
        <v>1</v>
      </c>
      <c r="FK56" s="10">
        <v>0</v>
      </c>
      <c r="FL56" s="10">
        <v>0</v>
      </c>
      <c r="FM56" s="10">
        <v>1</v>
      </c>
      <c r="FN56" s="10">
        <v>0</v>
      </c>
      <c r="FO56" s="10">
        <v>0</v>
      </c>
      <c r="FP56" s="10">
        <v>0</v>
      </c>
      <c r="FQ56" s="10">
        <v>4</v>
      </c>
      <c r="FR56" s="10">
        <v>1</v>
      </c>
      <c r="FS56" s="10">
        <v>0</v>
      </c>
      <c r="FU56" s="10">
        <v>1</v>
      </c>
      <c r="FV56" s="10">
        <v>4</v>
      </c>
      <c r="FW56" s="10">
        <v>0</v>
      </c>
      <c r="FX56" s="10">
        <v>0</v>
      </c>
      <c r="FY56" s="10">
        <v>1</v>
      </c>
      <c r="FZ56" s="10">
        <v>0</v>
      </c>
      <c r="GA56" s="10">
        <v>50</v>
      </c>
      <c r="GC56" s="52"/>
      <c r="GD56" s="10" t="s">
        <v>466</v>
      </c>
    </row>
    <row r="57" spans="1:187" s="10" customFormat="1" ht="15" x14ac:dyDescent="0.2">
      <c r="A57" s="22">
        <v>13383811</v>
      </c>
      <c r="B57" s="22">
        <v>0</v>
      </c>
      <c r="C57" s="29">
        <v>43305</v>
      </c>
      <c r="D57" s="10">
        <v>14</v>
      </c>
      <c r="E57" s="10">
        <v>28</v>
      </c>
      <c r="F57" s="10">
        <v>30</v>
      </c>
      <c r="G57" s="10">
        <f t="shared" si="0"/>
        <v>16</v>
      </c>
      <c r="H57" s="10">
        <v>1</v>
      </c>
      <c r="I57" s="10">
        <v>0</v>
      </c>
      <c r="J57" s="23">
        <v>36</v>
      </c>
      <c r="K57" s="23">
        <v>0</v>
      </c>
      <c r="L57" s="23">
        <v>0</v>
      </c>
      <c r="M57" s="23">
        <v>0</v>
      </c>
      <c r="N57" s="23">
        <v>0</v>
      </c>
      <c r="O57" s="23">
        <v>2</v>
      </c>
      <c r="P57" s="94"/>
      <c r="Q57" s="23">
        <v>70</v>
      </c>
      <c r="R57" s="23">
        <v>175</v>
      </c>
      <c r="S57" s="34">
        <f t="shared" si="1"/>
        <v>22.857142857142858</v>
      </c>
      <c r="T57" s="25">
        <v>1</v>
      </c>
      <c r="U57" s="23">
        <v>0</v>
      </c>
      <c r="V57" s="23">
        <v>2</v>
      </c>
      <c r="W57" s="38">
        <v>43305.805555555598</v>
      </c>
      <c r="X57" s="38">
        <v>43305.819444444402</v>
      </c>
      <c r="Y57" s="38">
        <v>43305.868055555598</v>
      </c>
      <c r="Z57" s="38">
        <v>43305.871527777803</v>
      </c>
      <c r="AA57" s="39">
        <f t="shared" si="2"/>
        <v>19.999999876599759</v>
      </c>
      <c r="AB57" s="39">
        <f t="shared" si="3"/>
        <v>70.000000123400241</v>
      </c>
      <c r="AC57" s="39">
        <f t="shared" si="4"/>
        <v>90</v>
      </c>
      <c r="AD57" s="41">
        <v>0</v>
      </c>
      <c r="AE57" s="22">
        <v>1</v>
      </c>
      <c r="AF57" s="22">
        <v>2</v>
      </c>
      <c r="AG57" s="14">
        <v>1</v>
      </c>
      <c r="AH57" s="14">
        <v>1</v>
      </c>
      <c r="AI57" s="23">
        <v>0</v>
      </c>
      <c r="AJ57" s="23">
        <v>0</v>
      </c>
      <c r="AK57" s="23">
        <v>0</v>
      </c>
      <c r="AL57" s="23">
        <v>1</v>
      </c>
      <c r="AM57" s="10">
        <v>7</v>
      </c>
      <c r="AN57" s="10">
        <v>0</v>
      </c>
      <c r="AO57" s="10">
        <v>1300</v>
      </c>
      <c r="AP57" s="94">
        <v>0</v>
      </c>
      <c r="AQ57" s="94">
        <v>0</v>
      </c>
      <c r="AR57" s="94">
        <v>0</v>
      </c>
      <c r="AS57" s="94">
        <v>0</v>
      </c>
      <c r="AT57" s="94">
        <v>0</v>
      </c>
      <c r="AU57" s="94">
        <v>0</v>
      </c>
      <c r="AV57" s="94">
        <v>0</v>
      </c>
      <c r="AW57" s="94">
        <v>0</v>
      </c>
      <c r="AX57" s="10">
        <v>2</v>
      </c>
      <c r="AY57" s="10">
        <v>0</v>
      </c>
      <c r="AZ57" s="10">
        <v>0</v>
      </c>
      <c r="BA57" s="10">
        <v>0</v>
      </c>
      <c r="BB57" s="10">
        <v>3</v>
      </c>
      <c r="BC57" s="10">
        <v>0</v>
      </c>
      <c r="BD57" s="10">
        <v>0</v>
      </c>
      <c r="BE57" s="10">
        <v>1</v>
      </c>
      <c r="BF57" s="10">
        <v>0</v>
      </c>
      <c r="BG57" s="10">
        <v>0</v>
      </c>
      <c r="BH57" s="10">
        <v>0</v>
      </c>
      <c r="BI57" s="10">
        <v>0</v>
      </c>
      <c r="BJ57" s="10">
        <v>131</v>
      </c>
      <c r="BK57" s="12"/>
      <c r="BM57" s="23">
        <v>1</v>
      </c>
      <c r="BN57" s="23">
        <v>0</v>
      </c>
      <c r="BO57" s="23">
        <v>0</v>
      </c>
      <c r="BP57" s="23">
        <v>1</v>
      </c>
      <c r="BQ57" s="23">
        <v>1</v>
      </c>
      <c r="BR57" s="23">
        <v>0</v>
      </c>
      <c r="BS57" s="23">
        <v>0</v>
      </c>
      <c r="BT57" s="96"/>
      <c r="BU57" s="38">
        <v>43305.898611111101</v>
      </c>
      <c r="BV57" s="38">
        <v>43306.100694444402</v>
      </c>
      <c r="BW57" s="38">
        <v>43306.059027777803</v>
      </c>
      <c r="BX57" s="38">
        <v>43306.107638888898</v>
      </c>
      <c r="BY57" s="38">
        <v>43306.100694444402</v>
      </c>
      <c r="BZ57" s="105"/>
      <c r="CA57" s="105"/>
      <c r="CB57" s="23">
        <v>1</v>
      </c>
      <c r="CC57" s="23">
        <v>0</v>
      </c>
      <c r="CD57" s="23">
        <v>1</v>
      </c>
      <c r="CE57" s="23">
        <v>0</v>
      </c>
      <c r="CF57" s="23">
        <v>0</v>
      </c>
      <c r="CG57" s="23"/>
      <c r="CH57" s="105">
        <v>0</v>
      </c>
      <c r="CI57" s="10">
        <v>1</v>
      </c>
      <c r="CJ57" s="10">
        <v>1</v>
      </c>
      <c r="CK57" s="10">
        <v>1</v>
      </c>
      <c r="CL57" s="10">
        <v>0</v>
      </c>
      <c r="CM57" s="10">
        <v>0</v>
      </c>
      <c r="CN57" s="10">
        <v>0</v>
      </c>
      <c r="CO57" s="10">
        <v>0</v>
      </c>
      <c r="CP57" s="10">
        <v>0</v>
      </c>
      <c r="CQ57" s="10">
        <v>0</v>
      </c>
      <c r="CR57" s="10">
        <v>0</v>
      </c>
      <c r="CS57" s="10">
        <v>0</v>
      </c>
      <c r="CT57" s="10">
        <v>0</v>
      </c>
      <c r="CU57" s="10">
        <v>0</v>
      </c>
      <c r="CV57" s="10">
        <v>0</v>
      </c>
      <c r="CW57" s="10">
        <v>0</v>
      </c>
      <c r="CX57" s="25">
        <v>0</v>
      </c>
      <c r="CY57" s="25">
        <v>5</v>
      </c>
      <c r="CZ57" s="25">
        <v>0</v>
      </c>
      <c r="DA57" s="25">
        <v>5</v>
      </c>
      <c r="DB57" s="25">
        <v>0</v>
      </c>
      <c r="DC57" s="25">
        <v>0</v>
      </c>
      <c r="DD57" s="25">
        <v>0</v>
      </c>
      <c r="DE57" s="25">
        <v>1</v>
      </c>
      <c r="DF57" s="25">
        <v>1</v>
      </c>
      <c r="DG57" s="105"/>
      <c r="DH57" s="25">
        <v>1</v>
      </c>
      <c r="DI57" s="25">
        <v>3</v>
      </c>
      <c r="DJ57" s="25">
        <v>0</v>
      </c>
      <c r="DK57" s="25">
        <v>0</v>
      </c>
      <c r="DL57" s="25">
        <v>0</v>
      </c>
      <c r="DM57" s="25">
        <v>0</v>
      </c>
      <c r="DN57" s="25">
        <v>0</v>
      </c>
      <c r="DO57" s="25">
        <v>0</v>
      </c>
      <c r="DP57" s="25">
        <v>0</v>
      </c>
      <c r="DQ57" s="25">
        <v>0</v>
      </c>
      <c r="DR57" s="25">
        <v>1</v>
      </c>
      <c r="DS57" s="25">
        <v>0</v>
      </c>
      <c r="DT57" s="26">
        <v>0</v>
      </c>
      <c r="DU57" s="26">
        <v>0</v>
      </c>
      <c r="DV57" s="26">
        <v>0</v>
      </c>
      <c r="DW57" s="26">
        <v>0</v>
      </c>
      <c r="DX57" s="26"/>
      <c r="DY57" s="10">
        <v>2.0099999999999998</v>
      </c>
      <c r="DZ57" s="10">
        <v>1.02</v>
      </c>
      <c r="EB57" s="10">
        <v>313</v>
      </c>
      <c r="ED57" s="10">
        <v>141</v>
      </c>
      <c r="EE57" s="10">
        <v>5.75</v>
      </c>
      <c r="EF57" s="10">
        <v>93</v>
      </c>
      <c r="EG57" s="10">
        <v>519</v>
      </c>
      <c r="EH57" s="10">
        <v>319</v>
      </c>
      <c r="EI57" s="10">
        <v>285</v>
      </c>
      <c r="EJ57" s="10">
        <v>111</v>
      </c>
      <c r="EK57" s="10">
        <v>0.2</v>
      </c>
      <c r="EL57" s="10" t="s">
        <v>878</v>
      </c>
      <c r="EO57" s="94">
        <v>0</v>
      </c>
      <c r="EP57" s="10">
        <v>77</v>
      </c>
      <c r="EQ57" s="10">
        <v>22</v>
      </c>
      <c r="ES57" s="10">
        <v>7.82</v>
      </c>
      <c r="ET57" s="10">
        <v>1</v>
      </c>
      <c r="EU57" s="10">
        <v>0</v>
      </c>
      <c r="EV57" s="10">
        <v>7.5</v>
      </c>
      <c r="EW57" s="10">
        <v>1</v>
      </c>
      <c r="EZ57" s="13"/>
      <c r="FI57" s="10">
        <v>1</v>
      </c>
      <c r="FJ57" s="10">
        <v>1</v>
      </c>
      <c r="FK57" s="10">
        <v>1</v>
      </c>
      <c r="FL57" s="10">
        <v>0</v>
      </c>
      <c r="FM57" s="10">
        <v>0</v>
      </c>
      <c r="FN57" s="10">
        <v>0</v>
      </c>
      <c r="FO57" s="10">
        <v>0</v>
      </c>
      <c r="FP57" s="10">
        <v>0</v>
      </c>
      <c r="FQ57" s="10">
        <v>5</v>
      </c>
      <c r="FR57" s="10">
        <v>3</v>
      </c>
      <c r="FS57" s="10">
        <v>0</v>
      </c>
      <c r="FU57" s="10">
        <v>0</v>
      </c>
      <c r="FV57" s="10">
        <v>4</v>
      </c>
      <c r="FW57" s="10">
        <v>0</v>
      </c>
      <c r="FX57" s="10">
        <v>0</v>
      </c>
      <c r="FY57" s="10">
        <v>1</v>
      </c>
      <c r="FZ57" s="10">
        <v>0</v>
      </c>
      <c r="GA57" s="10">
        <v>35</v>
      </c>
      <c r="GC57" s="52"/>
      <c r="GD57" s="10" t="s">
        <v>486</v>
      </c>
    </row>
    <row r="58" spans="1:187" s="10" customFormat="1" ht="15" x14ac:dyDescent="0.2">
      <c r="A58" s="22">
        <v>13372994</v>
      </c>
      <c r="B58" s="22">
        <v>0</v>
      </c>
      <c r="C58" s="29">
        <v>43258</v>
      </c>
      <c r="D58" s="10">
        <v>32</v>
      </c>
      <c r="E58" s="10">
        <v>22</v>
      </c>
      <c r="F58" s="10">
        <v>22</v>
      </c>
      <c r="G58" s="10">
        <f t="shared" si="0"/>
        <v>-10</v>
      </c>
      <c r="H58" s="10">
        <v>1</v>
      </c>
      <c r="I58" s="10">
        <v>0</v>
      </c>
      <c r="J58" s="23">
        <v>41</v>
      </c>
      <c r="K58" s="23">
        <v>0</v>
      </c>
      <c r="L58" s="23">
        <v>0</v>
      </c>
      <c r="M58" s="23">
        <v>1</v>
      </c>
      <c r="N58" s="23"/>
      <c r="O58" s="23">
        <v>3</v>
      </c>
      <c r="P58" s="94"/>
      <c r="Q58" s="23">
        <v>90</v>
      </c>
      <c r="R58" s="23">
        <v>170</v>
      </c>
      <c r="S58" s="34">
        <f t="shared" si="1"/>
        <v>31.141868512110729</v>
      </c>
      <c r="T58" s="25">
        <v>0</v>
      </c>
      <c r="U58" s="23">
        <v>0</v>
      </c>
      <c r="V58" s="23">
        <v>3</v>
      </c>
      <c r="W58" s="38">
        <v>43257.854166666701</v>
      </c>
      <c r="X58" s="38">
        <v>43257.861111111102</v>
      </c>
      <c r="Y58" s="38">
        <v>43257.910416666702</v>
      </c>
      <c r="Z58" s="38">
        <v>43257.915972222203</v>
      </c>
      <c r="AA58" s="39">
        <f t="shared" si="2"/>
        <v>9.9999999382998794</v>
      </c>
      <c r="AB58" s="39">
        <f t="shared" si="3"/>
        <v>71.000000063795596</v>
      </c>
      <c r="AC58" s="39">
        <f t="shared" si="4"/>
        <v>81.000000002095476</v>
      </c>
      <c r="AD58" s="41">
        <v>0</v>
      </c>
      <c r="AE58" s="22">
        <v>1</v>
      </c>
      <c r="AF58" s="22">
        <v>2</v>
      </c>
      <c r="AG58" s="14">
        <v>1</v>
      </c>
      <c r="AH58" s="14">
        <v>1</v>
      </c>
      <c r="AI58" s="23">
        <v>0</v>
      </c>
      <c r="AJ58" s="23">
        <v>0</v>
      </c>
      <c r="AK58" s="23">
        <v>0</v>
      </c>
      <c r="AL58" s="23">
        <v>1</v>
      </c>
      <c r="AM58" s="10">
        <v>6</v>
      </c>
      <c r="AN58" s="10">
        <v>1</v>
      </c>
      <c r="AO58" s="94"/>
      <c r="AP58" s="94">
        <v>0</v>
      </c>
      <c r="AQ58" s="94">
        <v>0</v>
      </c>
      <c r="AR58" s="94">
        <v>0</v>
      </c>
      <c r="AS58" s="94">
        <v>0</v>
      </c>
      <c r="AT58" s="94">
        <v>0</v>
      </c>
      <c r="AU58" s="94">
        <v>0</v>
      </c>
      <c r="AV58" s="94">
        <v>0</v>
      </c>
      <c r="AW58" s="94">
        <v>0</v>
      </c>
      <c r="AX58" s="10">
        <v>5</v>
      </c>
      <c r="AY58" s="10">
        <v>0</v>
      </c>
      <c r="AZ58" s="10">
        <v>0</v>
      </c>
      <c r="BA58" s="10">
        <v>0</v>
      </c>
      <c r="BB58" s="10">
        <v>3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94"/>
      <c r="BI58" s="94"/>
      <c r="BJ58" s="10">
        <v>126</v>
      </c>
      <c r="BK58" s="12">
        <v>1030</v>
      </c>
      <c r="BL58" s="10">
        <v>1195</v>
      </c>
      <c r="BM58" s="23">
        <v>1</v>
      </c>
      <c r="BN58" s="23">
        <v>1</v>
      </c>
      <c r="BO58" s="23">
        <v>0</v>
      </c>
      <c r="BP58" s="23">
        <v>1</v>
      </c>
      <c r="BQ58" s="23">
        <v>1</v>
      </c>
      <c r="BR58" s="23">
        <v>0</v>
      </c>
      <c r="BS58" s="23">
        <v>0</v>
      </c>
      <c r="BT58" s="96"/>
      <c r="BU58" s="38">
        <v>43257.938888888901</v>
      </c>
      <c r="BV58" s="38">
        <v>43258.107638888898</v>
      </c>
      <c r="BW58" s="38">
        <v>43258.038194444402</v>
      </c>
      <c r="BX58" s="38">
        <v>43258.125</v>
      </c>
      <c r="BY58" s="43"/>
      <c r="BZ58" s="105"/>
      <c r="CA58" s="105"/>
      <c r="CB58" s="23">
        <v>1</v>
      </c>
      <c r="CC58" s="23">
        <v>0</v>
      </c>
      <c r="CD58" s="23">
        <v>1</v>
      </c>
      <c r="CE58" s="23">
        <v>0</v>
      </c>
      <c r="CF58" s="23">
        <v>0</v>
      </c>
      <c r="CG58" s="23"/>
      <c r="CH58" s="105"/>
      <c r="CI58" s="10">
        <v>1</v>
      </c>
      <c r="CJ58" s="10">
        <v>1</v>
      </c>
      <c r="CK58" s="10">
        <v>1</v>
      </c>
      <c r="CL58" s="10">
        <v>1</v>
      </c>
      <c r="CM58" s="10">
        <v>1</v>
      </c>
      <c r="CN58" s="10">
        <v>1</v>
      </c>
      <c r="CO58" s="10">
        <v>0</v>
      </c>
      <c r="CP58" s="10">
        <v>0</v>
      </c>
      <c r="CQ58" s="10">
        <v>0</v>
      </c>
      <c r="CR58" s="10">
        <v>0</v>
      </c>
      <c r="CS58" s="10">
        <v>0</v>
      </c>
      <c r="CT58" s="10">
        <v>0</v>
      </c>
      <c r="CU58" s="10">
        <v>1</v>
      </c>
      <c r="CV58" s="10">
        <v>1</v>
      </c>
      <c r="CW58" s="10">
        <v>1</v>
      </c>
      <c r="CX58" s="105">
        <v>0</v>
      </c>
      <c r="CY58" s="25">
        <v>1</v>
      </c>
      <c r="CZ58" s="25"/>
      <c r="DA58" s="25">
        <v>1</v>
      </c>
      <c r="DB58" s="25">
        <v>1</v>
      </c>
      <c r="DC58" s="25"/>
      <c r="DD58" s="25">
        <v>1</v>
      </c>
      <c r="DE58" s="105"/>
      <c r="DF58" s="25">
        <v>1</v>
      </c>
      <c r="DG58" s="105"/>
      <c r="DH58" s="25">
        <v>2</v>
      </c>
      <c r="DI58" s="25">
        <v>3</v>
      </c>
      <c r="DJ58" s="25">
        <v>0</v>
      </c>
      <c r="DK58" s="25">
        <v>0</v>
      </c>
      <c r="DL58" s="25">
        <v>0</v>
      </c>
      <c r="DM58" s="25">
        <v>0</v>
      </c>
      <c r="DN58" s="25">
        <v>0</v>
      </c>
      <c r="DO58" s="25">
        <v>0</v>
      </c>
      <c r="DP58" s="25">
        <v>0</v>
      </c>
      <c r="DQ58" s="25">
        <v>0</v>
      </c>
      <c r="DR58" s="25">
        <v>1</v>
      </c>
      <c r="DS58" s="25">
        <v>0</v>
      </c>
      <c r="DT58" s="26">
        <v>1</v>
      </c>
      <c r="DU58" s="26">
        <v>0</v>
      </c>
      <c r="DV58" s="26">
        <v>0</v>
      </c>
      <c r="DW58" s="26">
        <v>1</v>
      </c>
      <c r="DX58" s="26"/>
      <c r="DY58" s="10">
        <v>1.17</v>
      </c>
      <c r="EA58" s="10">
        <v>421</v>
      </c>
      <c r="ED58" s="10">
        <v>137</v>
      </c>
      <c r="EE58" s="10">
        <v>7.51</v>
      </c>
      <c r="EF58" s="10">
        <v>94</v>
      </c>
      <c r="EG58" s="10">
        <v>517</v>
      </c>
      <c r="EH58" s="10">
        <v>155</v>
      </c>
      <c r="EI58" s="10">
        <v>169</v>
      </c>
      <c r="EJ58" s="10">
        <v>21</v>
      </c>
      <c r="EK58" s="10">
        <v>0.1</v>
      </c>
      <c r="EL58" s="10">
        <v>8</v>
      </c>
      <c r="EO58" s="94"/>
      <c r="ET58" s="10">
        <v>1</v>
      </c>
      <c r="EU58" s="10">
        <v>0</v>
      </c>
      <c r="EV58" s="10">
        <v>9</v>
      </c>
      <c r="EW58" s="10">
        <v>1</v>
      </c>
      <c r="EX58" s="10">
        <v>500</v>
      </c>
      <c r="EY58" s="10">
        <v>15</v>
      </c>
      <c r="EZ58" s="13" t="s">
        <v>673</v>
      </c>
      <c r="FI58" s="10">
        <v>1</v>
      </c>
      <c r="FJ58" s="10">
        <v>1</v>
      </c>
      <c r="FK58" s="10">
        <v>1</v>
      </c>
      <c r="FL58" s="10">
        <v>0</v>
      </c>
      <c r="FM58" s="10">
        <v>1</v>
      </c>
      <c r="FN58" s="10">
        <v>0</v>
      </c>
      <c r="FO58" s="10">
        <v>0</v>
      </c>
      <c r="FP58" s="10">
        <v>0</v>
      </c>
      <c r="FQ58" s="10">
        <v>6</v>
      </c>
      <c r="FR58" s="10">
        <v>1</v>
      </c>
      <c r="FS58" s="10">
        <v>0</v>
      </c>
      <c r="FU58" s="10">
        <v>1</v>
      </c>
      <c r="FV58" s="10">
        <v>4</v>
      </c>
      <c r="FW58" s="10">
        <v>0</v>
      </c>
      <c r="FX58" s="10">
        <v>0</v>
      </c>
      <c r="FY58" s="10">
        <v>1</v>
      </c>
      <c r="FZ58" s="10">
        <v>1</v>
      </c>
      <c r="GA58" s="10">
        <v>60</v>
      </c>
      <c r="GC58" s="52"/>
      <c r="GD58" s="10" t="s">
        <v>617</v>
      </c>
    </row>
    <row r="59" spans="1:187" s="10" customFormat="1" ht="15" x14ac:dyDescent="0.2">
      <c r="A59" s="23">
        <v>13370194</v>
      </c>
      <c r="B59" s="22">
        <v>0</v>
      </c>
      <c r="C59" s="29">
        <v>43245</v>
      </c>
      <c r="D59" s="10">
        <v>25</v>
      </c>
      <c r="E59" s="10">
        <v>35</v>
      </c>
      <c r="F59" s="10">
        <v>42</v>
      </c>
      <c r="G59" s="10">
        <f t="shared" si="0"/>
        <v>17</v>
      </c>
      <c r="H59" s="10">
        <v>0</v>
      </c>
      <c r="I59" s="10">
        <v>0</v>
      </c>
      <c r="J59" s="96">
        <v>63</v>
      </c>
      <c r="K59" s="23">
        <v>0</v>
      </c>
      <c r="L59" s="23">
        <v>0</v>
      </c>
      <c r="M59" s="23">
        <v>0</v>
      </c>
      <c r="N59" s="23">
        <v>0</v>
      </c>
      <c r="O59" s="23">
        <v>2</v>
      </c>
      <c r="P59" s="94"/>
      <c r="Q59" s="23">
        <v>100</v>
      </c>
      <c r="R59" s="23">
        <v>178</v>
      </c>
      <c r="S59" s="34">
        <f t="shared" si="1"/>
        <v>31.561671506122963</v>
      </c>
      <c r="T59" s="25">
        <v>0</v>
      </c>
      <c r="U59" s="23">
        <v>0</v>
      </c>
      <c r="V59" s="23">
        <v>2</v>
      </c>
      <c r="W59" s="38">
        <v>43245.006944444402</v>
      </c>
      <c r="X59" s="38">
        <v>43245.013888888898</v>
      </c>
      <c r="Y59" s="38">
        <v>43245.072916666701</v>
      </c>
      <c r="Z59" s="38">
        <v>43245.083333333299</v>
      </c>
      <c r="AA59" s="39">
        <f t="shared" si="2"/>
        <v>10.000000074505806</v>
      </c>
      <c r="AB59" s="39">
        <f t="shared" si="3"/>
        <v>85.00000003608875</v>
      </c>
      <c r="AC59" s="39">
        <f t="shared" si="4"/>
        <v>95.000000110594556</v>
      </c>
      <c r="AD59" s="41">
        <v>0</v>
      </c>
      <c r="AE59" s="22">
        <v>1</v>
      </c>
      <c r="AF59" s="22">
        <v>2</v>
      </c>
      <c r="AG59" s="14">
        <v>3</v>
      </c>
      <c r="AH59" s="14">
        <v>1</v>
      </c>
      <c r="AI59" s="23">
        <v>0</v>
      </c>
      <c r="AJ59" s="23">
        <v>2</v>
      </c>
      <c r="AK59" s="23">
        <v>0</v>
      </c>
      <c r="AL59" s="23">
        <v>0</v>
      </c>
      <c r="AM59" s="10">
        <v>8</v>
      </c>
      <c r="AN59" s="10">
        <v>0</v>
      </c>
      <c r="AO59" s="10">
        <v>750</v>
      </c>
      <c r="AP59" s="94">
        <v>0</v>
      </c>
      <c r="AQ59" s="94">
        <v>0</v>
      </c>
      <c r="AR59" s="94">
        <v>0</v>
      </c>
      <c r="AS59" s="94">
        <v>0</v>
      </c>
      <c r="AT59" s="94">
        <v>0</v>
      </c>
      <c r="AU59" s="94">
        <v>0</v>
      </c>
      <c r="AV59" s="94">
        <v>0</v>
      </c>
      <c r="AW59" s="94">
        <v>0</v>
      </c>
      <c r="AX59" s="10">
        <v>1</v>
      </c>
      <c r="AY59" s="10">
        <v>0</v>
      </c>
      <c r="AZ59" s="10">
        <v>0</v>
      </c>
      <c r="BA59" s="10">
        <v>0</v>
      </c>
      <c r="BB59" s="10">
        <v>3</v>
      </c>
      <c r="BC59" s="10">
        <v>0</v>
      </c>
      <c r="BD59" s="10">
        <v>1</v>
      </c>
      <c r="BE59" s="10">
        <v>0</v>
      </c>
      <c r="BF59" s="10">
        <v>1</v>
      </c>
      <c r="BG59" s="10">
        <v>1</v>
      </c>
      <c r="BH59" s="10">
        <v>0</v>
      </c>
      <c r="BI59" s="10">
        <v>0</v>
      </c>
      <c r="BJ59" s="10">
        <v>95</v>
      </c>
      <c r="BK59" s="12"/>
      <c r="BL59" s="15"/>
      <c r="BM59" s="23">
        <v>1</v>
      </c>
      <c r="BN59" s="23">
        <v>0</v>
      </c>
      <c r="BO59" s="23">
        <v>0</v>
      </c>
      <c r="BP59" s="23">
        <v>0</v>
      </c>
      <c r="BQ59" s="23">
        <v>0</v>
      </c>
      <c r="BR59" s="23">
        <v>0</v>
      </c>
      <c r="BS59" s="23">
        <v>0</v>
      </c>
      <c r="BT59" s="96"/>
      <c r="BU59" s="38">
        <v>43245.102083333302</v>
      </c>
      <c r="BV59" s="44"/>
      <c r="BW59" s="38">
        <v>43245.135416666701</v>
      </c>
      <c r="BX59" s="38">
        <v>43245.180555555598</v>
      </c>
      <c r="BY59" s="38">
        <v>43245.180555555598</v>
      </c>
      <c r="BZ59" s="25">
        <v>1</v>
      </c>
      <c r="CA59" s="25">
        <v>0</v>
      </c>
      <c r="CB59" s="23">
        <v>0</v>
      </c>
      <c r="CC59" s="23"/>
      <c r="CD59" s="23">
        <v>0</v>
      </c>
      <c r="CE59" s="23"/>
      <c r="CF59" s="23">
        <v>0</v>
      </c>
      <c r="CG59" s="23"/>
      <c r="CH59" s="105">
        <v>0</v>
      </c>
      <c r="CI59" s="10">
        <v>1</v>
      </c>
      <c r="CJ59" s="10">
        <v>0</v>
      </c>
      <c r="CK59" s="10">
        <v>0</v>
      </c>
      <c r="CL59" s="10">
        <v>1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  <c r="CX59" s="25">
        <v>0</v>
      </c>
      <c r="CY59" s="25">
        <v>2</v>
      </c>
      <c r="CZ59" s="25">
        <v>0</v>
      </c>
      <c r="DA59" s="25">
        <v>2</v>
      </c>
      <c r="DB59" s="105">
        <v>0</v>
      </c>
      <c r="DC59" s="105"/>
      <c r="DD59" s="25">
        <v>0</v>
      </c>
      <c r="DE59" s="25">
        <v>3</v>
      </c>
      <c r="DF59" s="25">
        <v>0</v>
      </c>
      <c r="DG59" s="105">
        <v>3</v>
      </c>
      <c r="DH59" s="25">
        <v>0</v>
      </c>
      <c r="DI59" s="25">
        <v>3</v>
      </c>
      <c r="DJ59" s="25">
        <v>0</v>
      </c>
      <c r="DK59" s="25">
        <v>0</v>
      </c>
      <c r="DL59" s="25">
        <v>0</v>
      </c>
      <c r="DM59" s="25">
        <v>0</v>
      </c>
      <c r="DN59" s="25">
        <v>0</v>
      </c>
      <c r="DO59" s="25">
        <v>0</v>
      </c>
      <c r="DP59" s="25">
        <v>0</v>
      </c>
      <c r="DQ59" s="25">
        <v>0</v>
      </c>
      <c r="DR59" s="25">
        <v>1</v>
      </c>
      <c r="DS59" s="25">
        <v>0</v>
      </c>
      <c r="DT59" s="26">
        <v>1</v>
      </c>
      <c r="DU59" s="26">
        <v>1</v>
      </c>
      <c r="DV59" s="26">
        <v>0</v>
      </c>
      <c r="DW59" s="26">
        <v>0</v>
      </c>
      <c r="DX59" s="26"/>
      <c r="DY59" s="10">
        <v>1.5</v>
      </c>
      <c r="DZ59" s="10">
        <v>0.91</v>
      </c>
      <c r="EB59" s="10">
        <v>200</v>
      </c>
      <c r="ED59" s="10">
        <v>139</v>
      </c>
      <c r="EE59" s="10">
        <v>7.5</v>
      </c>
      <c r="EF59" s="10">
        <v>103</v>
      </c>
      <c r="EG59" s="10">
        <v>1673</v>
      </c>
      <c r="EH59" s="10">
        <v>358</v>
      </c>
      <c r="EI59" s="10">
        <v>332</v>
      </c>
      <c r="EJ59" s="10">
        <v>15</v>
      </c>
      <c r="EK59" s="10">
        <v>0.1</v>
      </c>
      <c r="EL59" s="10">
        <v>9.1999999999999993</v>
      </c>
      <c r="EM59" s="10">
        <v>12.6</v>
      </c>
      <c r="EN59" s="10">
        <v>2.7</v>
      </c>
      <c r="EO59" s="94">
        <v>0</v>
      </c>
      <c r="EP59" s="10">
        <v>126</v>
      </c>
      <c r="EQ59" s="94">
        <v>5</v>
      </c>
      <c r="ES59" s="10">
        <v>10.3</v>
      </c>
      <c r="ET59" s="10">
        <v>1</v>
      </c>
      <c r="EU59" s="10">
        <v>0</v>
      </c>
      <c r="EV59" s="10">
        <v>8.5</v>
      </c>
      <c r="EW59" s="10">
        <v>1</v>
      </c>
      <c r="EX59" s="10">
        <v>800</v>
      </c>
      <c r="EY59" s="10">
        <v>15</v>
      </c>
      <c r="EZ59" s="13" t="s">
        <v>673</v>
      </c>
      <c r="FA59" s="10">
        <v>1</v>
      </c>
      <c r="FD59" s="10">
        <v>7.14</v>
      </c>
      <c r="FE59" s="10">
        <v>7.39</v>
      </c>
      <c r="FF59" s="10" t="s">
        <v>594</v>
      </c>
      <c r="FI59" s="10">
        <v>1</v>
      </c>
      <c r="FJ59" s="10">
        <v>1</v>
      </c>
      <c r="FK59" s="10">
        <v>1</v>
      </c>
      <c r="FL59" s="10">
        <v>0</v>
      </c>
      <c r="FM59" s="10">
        <v>0</v>
      </c>
      <c r="FN59" s="10">
        <v>0</v>
      </c>
      <c r="FO59" s="10">
        <v>0</v>
      </c>
      <c r="FP59" s="10">
        <v>0</v>
      </c>
      <c r="FQ59" s="10">
        <v>3</v>
      </c>
      <c r="FR59" s="10">
        <v>2</v>
      </c>
      <c r="FS59" s="10">
        <v>0</v>
      </c>
      <c r="FT59" s="10">
        <v>60</v>
      </c>
      <c r="FU59" s="10">
        <v>1</v>
      </c>
      <c r="FV59" s="10">
        <v>1</v>
      </c>
      <c r="FW59" s="94">
        <v>0</v>
      </c>
      <c r="FX59" s="10">
        <v>0</v>
      </c>
      <c r="FY59" s="10">
        <v>1</v>
      </c>
      <c r="FZ59" s="10">
        <v>3</v>
      </c>
      <c r="GA59" s="10">
        <v>24</v>
      </c>
      <c r="GC59" s="52" t="s">
        <v>513</v>
      </c>
      <c r="GD59" s="10" t="s">
        <v>593</v>
      </c>
    </row>
    <row r="60" spans="1:187" s="10" customFormat="1" ht="15" x14ac:dyDescent="0.2">
      <c r="A60" s="22">
        <v>13369645</v>
      </c>
      <c r="B60" s="22">
        <v>0</v>
      </c>
      <c r="C60" s="29">
        <v>43241</v>
      </c>
      <c r="D60" s="10">
        <v>12</v>
      </c>
      <c r="E60" s="10">
        <v>21</v>
      </c>
      <c r="F60" s="10">
        <v>46</v>
      </c>
      <c r="G60" s="10">
        <f t="shared" si="0"/>
        <v>34</v>
      </c>
      <c r="H60" s="10">
        <v>0</v>
      </c>
      <c r="I60" s="10">
        <v>0</v>
      </c>
      <c r="J60" s="23">
        <v>42</v>
      </c>
      <c r="K60" s="23">
        <v>0</v>
      </c>
      <c r="L60" s="23">
        <v>0</v>
      </c>
      <c r="M60" s="23">
        <v>1</v>
      </c>
      <c r="N60" s="23"/>
      <c r="O60" s="23">
        <v>2</v>
      </c>
      <c r="P60" s="94"/>
      <c r="Q60" s="23">
        <v>80</v>
      </c>
      <c r="R60" s="23">
        <v>175</v>
      </c>
      <c r="S60" s="34">
        <f t="shared" si="1"/>
        <v>26.122448979591837</v>
      </c>
      <c r="T60" s="25">
        <v>0</v>
      </c>
      <c r="U60" s="23">
        <v>0</v>
      </c>
      <c r="V60" s="23">
        <v>2</v>
      </c>
      <c r="W60" s="38">
        <v>43241.670138888898</v>
      </c>
      <c r="X60" s="38">
        <v>43241.675000000003</v>
      </c>
      <c r="Y60" s="38">
        <v>43241.739583333299</v>
      </c>
      <c r="Z60" s="38">
        <v>43241.748611111099</v>
      </c>
      <c r="AA60" s="39">
        <f t="shared" si="2"/>
        <v>6.9999999913852662</v>
      </c>
      <c r="AB60" s="39">
        <f t="shared" si="3"/>
        <v>92.999999946914613</v>
      </c>
      <c r="AC60" s="39">
        <f t="shared" si="4"/>
        <v>99.999999938299879</v>
      </c>
      <c r="AD60" s="41">
        <v>0</v>
      </c>
      <c r="AE60" s="22">
        <v>1</v>
      </c>
      <c r="AF60" s="22">
        <v>2</v>
      </c>
      <c r="AG60" s="14">
        <v>8</v>
      </c>
      <c r="AH60" s="14">
        <v>1</v>
      </c>
      <c r="AI60" s="23">
        <v>0</v>
      </c>
      <c r="AJ60" s="23">
        <v>0</v>
      </c>
      <c r="AK60" s="23">
        <v>0</v>
      </c>
      <c r="AL60" s="23">
        <v>0</v>
      </c>
      <c r="AM60" s="10">
        <v>16</v>
      </c>
      <c r="AN60" s="10">
        <v>1</v>
      </c>
      <c r="AO60" s="94"/>
      <c r="AP60" s="10">
        <v>0</v>
      </c>
      <c r="AQ60" s="10">
        <v>1</v>
      </c>
      <c r="AR60" s="10">
        <v>0</v>
      </c>
      <c r="AS60" s="10">
        <v>0</v>
      </c>
      <c r="AT60" s="10">
        <v>1</v>
      </c>
      <c r="AU60" s="10">
        <v>0</v>
      </c>
      <c r="AV60" s="10">
        <v>0</v>
      </c>
      <c r="AW60" s="10">
        <v>1</v>
      </c>
      <c r="AX60" s="10">
        <v>8</v>
      </c>
      <c r="AY60" s="10">
        <v>0</v>
      </c>
      <c r="AZ60" s="10">
        <v>0</v>
      </c>
      <c r="BA60" s="10">
        <v>0</v>
      </c>
      <c r="BB60" s="10">
        <v>3</v>
      </c>
      <c r="BC60" s="10">
        <v>0</v>
      </c>
      <c r="BD60" s="10">
        <v>1</v>
      </c>
      <c r="BE60" s="10">
        <v>0</v>
      </c>
      <c r="BF60" s="10">
        <v>1</v>
      </c>
      <c r="BG60" s="10">
        <v>0</v>
      </c>
      <c r="BH60" s="10">
        <v>0</v>
      </c>
      <c r="BI60" s="10">
        <v>0</v>
      </c>
      <c r="BJ60" s="10">
        <v>125</v>
      </c>
      <c r="BK60" s="12"/>
      <c r="BM60" s="23">
        <v>1</v>
      </c>
      <c r="BN60" s="23">
        <v>0</v>
      </c>
      <c r="BO60" s="23">
        <v>0</v>
      </c>
      <c r="BP60" s="23">
        <v>0</v>
      </c>
      <c r="BQ60" s="23">
        <v>0</v>
      </c>
      <c r="BR60" s="23">
        <v>0</v>
      </c>
      <c r="BS60" s="23">
        <v>0</v>
      </c>
      <c r="BT60" s="96"/>
      <c r="BU60" s="38">
        <v>43241.770833333299</v>
      </c>
      <c r="BV60" s="44"/>
      <c r="BW60" s="38">
        <v>43241.857638888898</v>
      </c>
      <c r="BX60" s="38">
        <v>43241.885416666701</v>
      </c>
      <c r="BY60" s="38">
        <v>43241.885416666701</v>
      </c>
      <c r="BZ60" s="25">
        <v>0</v>
      </c>
      <c r="CA60" s="25">
        <v>0</v>
      </c>
      <c r="CB60" s="23">
        <v>1</v>
      </c>
      <c r="CC60" s="23">
        <v>0</v>
      </c>
      <c r="CD60" s="23">
        <v>1</v>
      </c>
      <c r="CE60" s="23">
        <v>0</v>
      </c>
      <c r="CF60" s="23">
        <v>0</v>
      </c>
      <c r="CG60" s="23"/>
      <c r="CH60" s="105">
        <v>0</v>
      </c>
      <c r="CI60" s="10">
        <v>1</v>
      </c>
      <c r="CJ60" s="10">
        <v>1</v>
      </c>
      <c r="CK60" s="10">
        <v>1</v>
      </c>
      <c r="CL60" s="10">
        <v>1</v>
      </c>
      <c r="CM60" s="10">
        <v>0</v>
      </c>
      <c r="CN60" s="10">
        <v>0</v>
      </c>
      <c r="CO60" s="10">
        <v>0</v>
      </c>
      <c r="CP60" s="10">
        <v>0</v>
      </c>
      <c r="CQ60" s="10">
        <v>0</v>
      </c>
      <c r="CR60" s="10">
        <v>0</v>
      </c>
      <c r="CS60" s="10">
        <v>0</v>
      </c>
      <c r="CT60" s="10">
        <v>0</v>
      </c>
      <c r="CU60" s="10">
        <v>0</v>
      </c>
      <c r="CV60" s="10">
        <v>0</v>
      </c>
      <c r="CW60" s="10">
        <v>0</v>
      </c>
      <c r="CX60" s="25">
        <v>0</v>
      </c>
      <c r="CY60" s="105">
        <v>5</v>
      </c>
      <c r="CZ60" s="25">
        <v>0</v>
      </c>
      <c r="DA60" s="105">
        <v>5</v>
      </c>
      <c r="DB60" s="25">
        <v>1</v>
      </c>
      <c r="DC60" s="25"/>
      <c r="DD60" s="25">
        <v>0</v>
      </c>
      <c r="DE60" s="105">
        <v>1</v>
      </c>
      <c r="DF60" s="25">
        <v>1</v>
      </c>
      <c r="DG60" s="105"/>
      <c r="DH60" s="25">
        <v>1</v>
      </c>
      <c r="DI60" s="25">
        <v>2</v>
      </c>
      <c r="DJ60" s="25">
        <v>0</v>
      </c>
      <c r="DK60" s="25">
        <v>0</v>
      </c>
      <c r="DL60" s="25">
        <v>0</v>
      </c>
      <c r="DM60" s="25">
        <v>0</v>
      </c>
      <c r="DN60" s="25">
        <v>0</v>
      </c>
      <c r="DO60" s="25">
        <v>0</v>
      </c>
      <c r="DP60" s="25">
        <v>0</v>
      </c>
      <c r="DQ60" s="25">
        <v>0</v>
      </c>
      <c r="DR60" s="25">
        <v>1</v>
      </c>
      <c r="DS60" s="25">
        <v>0</v>
      </c>
      <c r="DT60" s="26">
        <v>1</v>
      </c>
      <c r="DU60" s="26">
        <v>1</v>
      </c>
      <c r="DV60" s="26">
        <v>0</v>
      </c>
      <c r="DW60" s="26">
        <v>0</v>
      </c>
      <c r="DX60" s="26"/>
      <c r="DY60" s="10">
        <v>1.64</v>
      </c>
      <c r="DZ60" s="10">
        <v>0.87</v>
      </c>
      <c r="EB60" s="10">
        <v>366</v>
      </c>
      <c r="ED60" s="10">
        <v>141</v>
      </c>
      <c r="EE60" s="10">
        <v>4.3</v>
      </c>
      <c r="EF60" s="10">
        <v>93</v>
      </c>
      <c r="EH60" s="10">
        <v>251</v>
      </c>
      <c r="EI60" s="10">
        <v>229</v>
      </c>
      <c r="EJ60" s="10">
        <v>114</v>
      </c>
      <c r="EL60" s="10">
        <v>8.6999999999999993</v>
      </c>
      <c r="EM60" s="10">
        <v>15.7</v>
      </c>
      <c r="EO60" s="94">
        <v>1</v>
      </c>
      <c r="EP60" s="10">
        <v>75</v>
      </c>
      <c r="EQ60" s="10">
        <v>16</v>
      </c>
      <c r="ES60" s="10">
        <v>14.6</v>
      </c>
      <c r="ET60" s="10">
        <v>1</v>
      </c>
      <c r="EU60" s="94"/>
      <c r="EV60" s="94"/>
      <c r="EW60" s="10">
        <v>0</v>
      </c>
      <c r="EY60" s="10">
        <v>13</v>
      </c>
      <c r="EZ60" s="13"/>
      <c r="FD60" s="10">
        <v>7</v>
      </c>
      <c r="FE60" s="10">
        <v>7.46</v>
      </c>
      <c r="FF60" s="10" t="s">
        <v>592</v>
      </c>
      <c r="FI60" s="10">
        <v>1</v>
      </c>
      <c r="FJ60" s="10">
        <v>1</v>
      </c>
      <c r="FK60" s="10">
        <v>1</v>
      </c>
      <c r="FL60" s="10">
        <v>0</v>
      </c>
      <c r="FM60" s="10">
        <v>0</v>
      </c>
      <c r="FN60" s="10">
        <v>0</v>
      </c>
      <c r="FO60" s="10">
        <v>0</v>
      </c>
      <c r="FP60" s="10">
        <v>0</v>
      </c>
      <c r="FQ60" s="10">
        <v>4</v>
      </c>
      <c r="FR60" s="10">
        <v>2</v>
      </c>
      <c r="FS60" s="10">
        <v>0</v>
      </c>
      <c r="FT60" s="10">
        <v>45</v>
      </c>
      <c r="FU60" s="10">
        <v>1</v>
      </c>
      <c r="FV60" s="10">
        <v>1</v>
      </c>
      <c r="FW60" s="94">
        <v>0</v>
      </c>
      <c r="FX60" s="10">
        <v>0</v>
      </c>
      <c r="FY60" s="10">
        <v>1</v>
      </c>
      <c r="FZ60" s="10">
        <v>1</v>
      </c>
      <c r="GA60" s="10">
        <v>70</v>
      </c>
      <c r="GC60" s="52"/>
      <c r="GD60" s="10" t="s">
        <v>591</v>
      </c>
      <c r="GE60" s="10" t="s">
        <v>465</v>
      </c>
    </row>
    <row r="61" spans="1:187" s="10" customFormat="1" ht="15" x14ac:dyDescent="0.2">
      <c r="A61" s="23">
        <v>13369671</v>
      </c>
      <c r="B61" s="22">
        <v>0</v>
      </c>
      <c r="C61" s="29">
        <v>43240</v>
      </c>
      <c r="H61" s="10">
        <v>0</v>
      </c>
      <c r="I61" s="10">
        <v>0</v>
      </c>
      <c r="J61" s="23">
        <v>51</v>
      </c>
      <c r="K61" s="23">
        <v>1</v>
      </c>
      <c r="L61" s="23">
        <v>0</v>
      </c>
      <c r="M61" s="23">
        <v>1</v>
      </c>
      <c r="N61" s="23"/>
      <c r="O61" s="23">
        <v>0</v>
      </c>
      <c r="P61" s="94"/>
      <c r="Q61" s="23">
        <v>90</v>
      </c>
      <c r="R61" s="23">
        <v>180</v>
      </c>
      <c r="S61" s="34">
        <f t="shared" si="1"/>
        <v>27.777777777777775</v>
      </c>
      <c r="T61" s="25">
        <v>0</v>
      </c>
      <c r="U61" s="23">
        <v>0</v>
      </c>
      <c r="V61" s="23">
        <v>2</v>
      </c>
      <c r="W61" s="38">
        <v>43240.8930555556</v>
      </c>
      <c r="X61" s="38">
        <v>43240.9</v>
      </c>
      <c r="Y61" s="38">
        <v>43240.944444444402</v>
      </c>
      <c r="Z61" s="38">
        <v>43240.956250000003</v>
      </c>
      <c r="AA61" s="39">
        <f t="shared" si="2"/>
        <v>9.9999999382998794</v>
      </c>
      <c r="AB61" s="39">
        <f t="shared" si="3"/>
        <v>63.999999936204404</v>
      </c>
      <c r="AC61" s="39">
        <f t="shared" si="4"/>
        <v>73.999999874504283</v>
      </c>
      <c r="AD61" s="41">
        <v>0</v>
      </c>
      <c r="AE61" s="22">
        <v>1</v>
      </c>
      <c r="AF61" s="22">
        <v>0</v>
      </c>
      <c r="AG61" s="14">
        <v>2</v>
      </c>
      <c r="AH61" s="14">
        <v>1</v>
      </c>
      <c r="AI61" s="23">
        <v>0</v>
      </c>
      <c r="AJ61" s="23">
        <v>0</v>
      </c>
      <c r="AK61" s="23">
        <v>1</v>
      </c>
      <c r="AL61" s="23">
        <v>0</v>
      </c>
      <c r="AM61" s="10">
        <v>6</v>
      </c>
      <c r="AN61" s="10">
        <v>0</v>
      </c>
      <c r="AP61" s="94">
        <v>0</v>
      </c>
      <c r="AQ61" s="94">
        <v>0</v>
      </c>
      <c r="AR61" s="94">
        <v>0</v>
      </c>
      <c r="AS61" s="94">
        <v>0</v>
      </c>
      <c r="AT61" s="94">
        <v>0</v>
      </c>
      <c r="AU61" s="94">
        <v>0</v>
      </c>
      <c r="AV61" s="94">
        <v>0</v>
      </c>
      <c r="AW61" s="94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1</v>
      </c>
      <c r="BG61" s="10">
        <v>0</v>
      </c>
      <c r="BH61" s="10">
        <v>0</v>
      </c>
      <c r="BI61" s="10">
        <v>0</v>
      </c>
      <c r="BJ61" s="10">
        <v>111</v>
      </c>
      <c r="BK61" s="12"/>
      <c r="BM61" s="23">
        <v>1</v>
      </c>
      <c r="BN61" s="23">
        <v>0</v>
      </c>
      <c r="BO61" s="23">
        <v>0</v>
      </c>
      <c r="BP61" s="23">
        <v>0</v>
      </c>
      <c r="BQ61" s="23">
        <v>0</v>
      </c>
      <c r="BR61" s="23">
        <v>0</v>
      </c>
      <c r="BS61" s="23">
        <v>0</v>
      </c>
      <c r="BT61" s="96"/>
      <c r="BU61" s="38">
        <v>43240.970138888901</v>
      </c>
      <c r="BV61" s="38">
        <v>43240.000011574099</v>
      </c>
      <c r="BW61" s="38">
        <v>43241.003472222197</v>
      </c>
      <c r="BX61" s="38">
        <v>43241.038194444402</v>
      </c>
      <c r="BY61" s="38">
        <v>43241.038194444402</v>
      </c>
      <c r="BZ61" s="25">
        <v>0</v>
      </c>
      <c r="CA61" s="25">
        <v>0</v>
      </c>
      <c r="CB61" s="23">
        <v>0</v>
      </c>
      <c r="CC61" s="23"/>
      <c r="CD61" s="23">
        <v>0</v>
      </c>
      <c r="CE61" s="23"/>
      <c r="CF61" s="23">
        <v>0</v>
      </c>
      <c r="CG61" s="23"/>
      <c r="CH61" s="105">
        <v>0</v>
      </c>
      <c r="CI61" s="10">
        <v>1</v>
      </c>
      <c r="CJ61" s="10">
        <v>0</v>
      </c>
      <c r="CK61" s="10">
        <v>0</v>
      </c>
      <c r="CL61" s="10">
        <v>1</v>
      </c>
      <c r="CM61" s="10">
        <v>0</v>
      </c>
      <c r="CN61" s="10">
        <v>0</v>
      </c>
      <c r="CO61" s="10">
        <v>0</v>
      </c>
      <c r="CP61" s="10">
        <v>0</v>
      </c>
      <c r="CQ61" s="10">
        <v>0</v>
      </c>
      <c r="CR61" s="10">
        <v>0</v>
      </c>
      <c r="CS61" s="10">
        <v>0</v>
      </c>
      <c r="CT61" s="10">
        <v>0</v>
      </c>
      <c r="CU61" s="10">
        <v>0</v>
      </c>
      <c r="CV61" s="10">
        <v>0</v>
      </c>
      <c r="CW61" s="10">
        <v>0</v>
      </c>
      <c r="CX61" s="25">
        <v>0</v>
      </c>
      <c r="CY61" s="25">
        <v>3</v>
      </c>
      <c r="CZ61" s="25">
        <v>0</v>
      </c>
      <c r="DA61" s="25">
        <v>3</v>
      </c>
      <c r="DB61" s="105">
        <v>0</v>
      </c>
      <c r="DC61" s="105">
        <v>4</v>
      </c>
      <c r="DD61" s="25">
        <v>0</v>
      </c>
      <c r="DE61" s="105">
        <v>5</v>
      </c>
      <c r="DF61" s="25">
        <v>0</v>
      </c>
      <c r="DG61" s="105">
        <v>5</v>
      </c>
      <c r="DH61" s="25">
        <v>0</v>
      </c>
      <c r="DI61" s="25">
        <v>3</v>
      </c>
      <c r="DJ61" s="25">
        <v>0</v>
      </c>
      <c r="DK61" s="25">
        <v>0</v>
      </c>
      <c r="DL61" s="25">
        <v>0</v>
      </c>
      <c r="DM61" s="25">
        <v>0</v>
      </c>
      <c r="DN61" s="25">
        <v>0</v>
      </c>
      <c r="DO61" s="25">
        <v>0</v>
      </c>
      <c r="DP61" s="25">
        <v>0</v>
      </c>
      <c r="DQ61" s="25">
        <v>0</v>
      </c>
      <c r="DR61" s="25">
        <v>0</v>
      </c>
      <c r="DS61" s="25">
        <v>0</v>
      </c>
      <c r="DT61" s="26">
        <v>1</v>
      </c>
      <c r="DU61" s="26">
        <v>1</v>
      </c>
      <c r="DV61" s="26">
        <v>0</v>
      </c>
      <c r="DW61" s="26">
        <v>0</v>
      </c>
      <c r="DX61" s="26"/>
      <c r="DY61" s="10">
        <v>1.32</v>
      </c>
      <c r="DZ61" s="10">
        <v>0.88</v>
      </c>
      <c r="EB61" s="10">
        <v>603</v>
      </c>
      <c r="ED61" s="10">
        <v>140</v>
      </c>
      <c r="EE61" s="10">
        <v>10.6</v>
      </c>
      <c r="EF61" s="10">
        <v>101</v>
      </c>
      <c r="EH61" s="10">
        <v>48</v>
      </c>
      <c r="EJ61" s="10">
        <v>25</v>
      </c>
      <c r="EL61" s="10">
        <v>11.7</v>
      </c>
      <c r="EM61" s="10">
        <v>13.8</v>
      </c>
      <c r="EN61" s="10">
        <v>3.7</v>
      </c>
      <c r="EO61" s="94">
        <v>0</v>
      </c>
      <c r="EQ61" s="10">
        <v>6</v>
      </c>
      <c r="ES61" s="94" t="s">
        <v>872</v>
      </c>
      <c r="ET61" s="94"/>
      <c r="EU61" s="10">
        <v>1</v>
      </c>
      <c r="EV61" s="10">
        <v>7</v>
      </c>
      <c r="EW61" s="94"/>
      <c r="EZ61" s="13"/>
      <c r="FE61" s="10">
        <v>6.98</v>
      </c>
      <c r="FF61" s="10" t="s">
        <v>590</v>
      </c>
      <c r="FI61" s="10">
        <v>1</v>
      </c>
      <c r="FJ61" s="10">
        <v>1</v>
      </c>
      <c r="FK61" s="10">
        <v>1</v>
      </c>
      <c r="FL61" s="10">
        <v>3</v>
      </c>
      <c r="FM61" s="10">
        <v>0</v>
      </c>
      <c r="FN61" s="10">
        <v>0</v>
      </c>
      <c r="FO61" s="10">
        <v>0</v>
      </c>
      <c r="FP61" s="10">
        <v>0</v>
      </c>
      <c r="FQ61" s="10">
        <v>3</v>
      </c>
      <c r="FR61" s="10">
        <v>2</v>
      </c>
      <c r="FS61" s="10">
        <v>2</v>
      </c>
      <c r="FT61" s="10">
        <v>30</v>
      </c>
      <c r="FU61" s="10">
        <v>1</v>
      </c>
      <c r="FV61" s="10">
        <v>2</v>
      </c>
      <c r="FW61" s="94">
        <v>0</v>
      </c>
      <c r="FX61" s="10">
        <v>0</v>
      </c>
      <c r="FY61" s="10">
        <v>0</v>
      </c>
      <c r="FZ61" s="10">
        <v>1</v>
      </c>
      <c r="GA61" s="10">
        <v>70</v>
      </c>
      <c r="GC61" s="52" t="s">
        <v>512</v>
      </c>
      <c r="GD61" s="10" t="s">
        <v>589</v>
      </c>
    </row>
    <row r="62" spans="1:187" s="10" customFormat="1" ht="15" x14ac:dyDescent="0.2">
      <c r="A62" s="23">
        <v>13365740</v>
      </c>
      <c r="B62" s="22">
        <v>0</v>
      </c>
      <c r="C62" s="29">
        <v>43228</v>
      </c>
      <c r="D62" s="10">
        <v>8</v>
      </c>
      <c r="E62" s="10">
        <v>5</v>
      </c>
      <c r="F62" s="10">
        <v>8</v>
      </c>
      <c r="G62" s="10">
        <f t="shared" si="0"/>
        <v>0</v>
      </c>
      <c r="H62" s="10">
        <v>1</v>
      </c>
      <c r="I62" s="10">
        <v>0</v>
      </c>
      <c r="J62" s="23">
        <v>37</v>
      </c>
      <c r="K62" s="23">
        <v>1</v>
      </c>
      <c r="L62" s="23">
        <v>0</v>
      </c>
      <c r="M62" s="23">
        <v>1</v>
      </c>
      <c r="N62" s="23"/>
      <c r="O62" s="23">
        <v>0</v>
      </c>
      <c r="P62" s="94"/>
      <c r="Q62" s="23">
        <v>80</v>
      </c>
      <c r="R62" s="23">
        <v>180</v>
      </c>
      <c r="S62" s="34">
        <f t="shared" si="1"/>
        <v>24.691358024691358</v>
      </c>
      <c r="T62" s="25">
        <v>0</v>
      </c>
      <c r="U62" s="23">
        <v>0</v>
      </c>
      <c r="V62" s="23">
        <v>6</v>
      </c>
      <c r="W62" s="38">
        <v>43228.6159722222</v>
      </c>
      <c r="X62" s="38">
        <v>43228.624305555597</v>
      </c>
      <c r="Y62" s="38">
        <v>43228.680555555598</v>
      </c>
      <c r="Z62" s="38">
        <v>43228.684027777803</v>
      </c>
      <c r="AA62" s="39">
        <f t="shared" si="2"/>
        <v>12.000000091502443</v>
      </c>
      <c r="AB62" s="39">
        <f t="shared" si="3"/>
        <v>81.000000002095476</v>
      </c>
      <c r="AC62" s="39">
        <f t="shared" si="4"/>
        <v>93.000000093597919</v>
      </c>
      <c r="AD62" s="41">
        <v>0</v>
      </c>
      <c r="AE62" s="22">
        <v>1</v>
      </c>
      <c r="AF62" s="22">
        <v>0</v>
      </c>
      <c r="AG62" s="14">
        <v>1</v>
      </c>
      <c r="AH62" s="14">
        <v>4</v>
      </c>
      <c r="AI62" s="23">
        <v>0</v>
      </c>
      <c r="AJ62" s="23">
        <v>0</v>
      </c>
      <c r="AK62" s="23">
        <v>0</v>
      </c>
      <c r="AL62" s="23">
        <v>1</v>
      </c>
      <c r="AM62" s="10">
        <v>9</v>
      </c>
      <c r="AN62" s="10">
        <v>0</v>
      </c>
      <c r="AO62" s="10">
        <v>500</v>
      </c>
      <c r="AP62" s="94">
        <v>0</v>
      </c>
      <c r="AQ62" s="94">
        <v>0</v>
      </c>
      <c r="AR62" s="94">
        <v>0</v>
      </c>
      <c r="AS62" s="94">
        <v>0</v>
      </c>
      <c r="AT62" s="94">
        <v>0</v>
      </c>
      <c r="AU62" s="94">
        <v>0</v>
      </c>
      <c r="AV62" s="94">
        <v>0</v>
      </c>
      <c r="AW62" s="94">
        <v>0</v>
      </c>
      <c r="AX62" s="10">
        <v>0</v>
      </c>
      <c r="AY62" s="10">
        <v>1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105</v>
      </c>
      <c r="BK62" s="12"/>
      <c r="BM62" s="23">
        <v>1</v>
      </c>
      <c r="BN62" s="23">
        <v>1</v>
      </c>
      <c r="BO62" s="23">
        <v>0</v>
      </c>
      <c r="BP62" s="23">
        <v>1</v>
      </c>
      <c r="BQ62" s="23">
        <v>1</v>
      </c>
      <c r="BR62" s="23">
        <v>0</v>
      </c>
      <c r="BS62" s="23">
        <v>0</v>
      </c>
      <c r="BT62" s="96"/>
      <c r="BU62" s="38">
        <v>43228.708333333299</v>
      </c>
      <c r="BV62" s="38">
        <v>43228.923611111102</v>
      </c>
      <c r="BW62" s="38">
        <v>43228.864583333299</v>
      </c>
      <c r="BX62" s="38">
        <v>43228.927083333299</v>
      </c>
      <c r="BY62" s="38">
        <v>43228.923611111102</v>
      </c>
      <c r="BZ62" s="25">
        <v>0</v>
      </c>
      <c r="CA62" s="105"/>
      <c r="CB62" s="23">
        <v>1</v>
      </c>
      <c r="CC62" s="23">
        <v>0</v>
      </c>
      <c r="CD62" s="23">
        <v>1</v>
      </c>
      <c r="CE62" s="23">
        <v>0</v>
      </c>
      <c r="CF62" s="23">
        <v>0</v>
      </c>
      <c r="CG62" s="23"/>
      <c r="CH62" s="105"/>
      <c r="CI62" s="10">
        <v>1</v>
      </c>
      <c r="CJ62" s="10">
        <v>0</v>
      </c>
      <c r="CK62" s="10">
        <v>0</v>
      </c>
      <c r="CL62" s="10">
        <v>1</v>
      </c>
      <c r="CM62" s="10">
        <v>0</v>
      </c>
      <c r="CN62" s="10">
        <v>0</v>
      </c>
      <c r="CO62" s="10">
        <v>0</v>
      </c>
      <c r="CP62" s="10">
        <v>0</v>
      </c>
      <c r="CQ62" s="10">
        <v>0</v>
      </c>
      <c r="CR62" s="10">
        <v>0</v>
      </c>
      <c r="CS62" s="10">
        <v>0</v>
      </c>
      <c r="CT62" s="10">
        <v>0</v>
      </c>
      <c r="CU62" s="10">
        <v>1</v>
      </c>
      <c r="CV62" s="10">
        <v>0</v>
      </c>
      <c r="CW62" s="10">
        <v>0</v>
      </c>
      <c r="CX62" s="25">
        <v>0</v>
      </c>
      <c r="CY62" s="25">
        <v>1</v>
      </c>
      <c r="CZ62" s="25">
        <v>0</v>
      </c>
      <c r="DA62" s="105">
        <v>1</v>
      </c>
      <c r="DB62" s="25">
        <v>0</v>
      </c>
      <c r="DC62" s="105">
        <v>2</v>
      </c>
      <c r="DD62" s="25">
        <v>0</v>
      </c>
      <c r="DE62" s="105">
        <v>0</v>
      </c>
      <c r="DF62" s="25">
        <v>0</v>
      </c>
      <c r="DG62" s="105">
        <v>0</v>
      </c>
      <c r="DH62" s="25">
        <v>0</v>
      </c>
      <c r="DI62" s="25">
        <v>2</v>
      </c>
      <c r="DJ62" s="25">
        <v>2</v>
      </c>
      <c r="DK62" s="25">
        <v>0</v>
      </c>
      <c r="DL62" s="25">
        <v>1</v>
      </c>
      <c r="DM62" s="25">
        <v>0</v>
      </c>
      <c r="DN62" s="25">
        <v>0</v>
      </c>
      <c r="DO62" s="25">
        <v>0</v>
      </c>
      <c r="DP62" s="25">
        <v>0</v>
      </c>
      <c r="DQ62" s="25">
        <v>0</v>
      </c>
      <c r="DR62" s="25">
        <v>1</v>
      </c>
      <c r="DS62" s="25">
        <v>0</v>
      </c>
      <c r="DT62" s="26">
        <v>1</v>
      </c>
      <c r="DU62" s="26">
        <v>0</v>
      </c>
      <c r="DV62" s="26">
        <v>0</v>
      </c>
      <c r="DW62" s="26">
        <v>0</v>
      </c>
      <c r="DX62" s="26"/>
      <c r="DY62" s="10">
        <v>1.77</v>
      </c>
      <c r="DZ62" s="10">
        <v>1.01</v>
      </c>
      <c r="EA62" s="10">
        <v>203</v>
      </c>
      <c r="EB62" s="10">
        <v>671</v>
      </c>
      <c r="ED62" s="10">
        <v>147</v>
      </c>
      <c r="EE62" s="10">
        <v>8.25</v>
      </c>
      <c r="EF62" s="10">
        <v>98</v>
      </c>
      <c r="EH62" s="10">
        <v>46</v>
      </c>
      <c r="EI62" s="10">
        <v>55</v>
      </c>
      <c r="EJ62" s="10">
        <v>15</v>
      </c>
      <c r="EK62" s="10">
        <v>0.2</v>
      </c>
      <c r="EL62" s="10" t="s">
        <v>878</v>
      </c>
      <c r="EO62" s="94">
        <v>0</v>
      </c>
      <c r="EP62" s="10">
        <v>115</v>
      </c>
      <c r="EQ62" s="10">
        <v>13</v>
      </c>
      <c r="ES62" s="10">
        <v>15</v>
      </c>
      <c r="ET62" s="94"/>
      <c r="EU62" s="94"/>
      <c r="EV62" s="94"/>
      <c r="EW62" s="94"/>
      <c r="EY62" s="10">
        <v>15</v>
      </c>
      <c r="EZ62" s="13"/>
      <c r="FI62" s="10">
        <v>1</v>
      </c>
      <c r="FJ62" s="10">
        <v>1</v>
      </c>
      <c r="FK62" s="10">
        <v>1</v>
      </c>
      <c r="FL62" s="10">
        <v>0</v>
      </c>
      <c r="FM62" s="10">
        <v>0</v>
      </c>
      <c r="FN62" s="10">
        <v>0</v>
      </c>
      <c r="FO62" s="10">
        <v>0</v>
      </c>
      <c r="FP62" s="10">
        <v>0</v>
      </c>
      <c r="FQ62" s="10">
        <v>2</v>
      </c>
      <c r="FR62" s="10">
        <v>2</v>
      </c>
      <c r="FS62" s="10">
        <v>0</v>
      </c>
      <c r="FU62" s="10">
        <v>2</v>
      </c>
      <c r="FV62" s="10">
        <v>0</v>
      </c>
      <c r="FW62" s="94">
        <v>0</v>
      </c>
      <c r="FX62" s="10">
        <v>0</v>
      </c>
      <c r="FY62" s="10">
        <v>1</v>
      </c>
      <c r="FZ62" s="10">
        <v>1</v>
      </c>
      <c r="GA62" s="10">
        <v>65</v>
      </c>
      <c r="GC62" s="52"/>
      <c r="GD62" s="10" t="s">
        <v>616</v>
      </c>
    </row>
    <row r="63" spans="1:187" s="10" customFormat="1" ht="15" x14ac:dyDescent="0.2">
      <c r="A63" s="23">
        <v>13281810</v>
      </c>
      <c r="B63" s="22">
        <v>0</v>
      </c>
      <c r="C63" s="29">
        <v>43200</v>
      </c>
      <c r="D63" s="10">
        <v>21</v>
      </c>
      <c r="E63" s="10">
        <v>29</v>
      </c>
      <c r="F63" s="10">
        <v>26</v>
      </c>
      <c r="G63" s="10">
        <f t="shared" si="0"/>
        <v>5</v>
      </c>
      <c r="H63" s="10">
        <v>0</v>
      </c>
      <c r="I63" s="10">
        <v>0</v>
      </c>
      <c r="J63" s="23">
        <v>48</v>
      </c>
      <c r="K63" s="23">
        <v>1</v>
      </c>
      <c r="L63" s="23">
        <v>0</v>
      </c>
      <c r="M63" s="23">
        <v>1</v>
      </c>
      <c r="N63" s="23"/>
      <c r="O63" s="23">
        <v>5</v>
      </c>
      <c r="P63" s="94"/>
      <c r="Q63" s="23">
        <v>95</v>
      </c>
      <c r="R63" s="23">
        <v>175</v>
      </c>
      <c r="S63" s="34">
        <f t="shared" si="1"/>
        <v>31.020408163265305</v>
      </c>
      <c r="T63" s="25">
        <v>0</v>
      </c>
      <c r="U63" s="23">
        <v>0</v>
      </c>
      <c r="V63" s="23">
        <v>2</v>
      </c>
      <c r="W63" s="38">
        <v>43200.159722222197</v>
      </c>
      <c r="X63" s="38">
        <v>43200.173611111102</v>
      </c>
      <c r="Y63" s="38">
        <v>43200.246527777803</v>
      </c>
      <c r="Z63" s="38">
        <v>43200.256944444402</v>
      </c>
      <c r="AA63" s="39">
        <f t="shared" si="2"/>
        <v>20.000000023283064</v>
      </c>
      <c r="AB63" s="39">
        <f t="shared" si="3"/>
        <v>105.00000004889444</v>
      </c>
      <c r="AC63" s="39">
        <f t="shared" si="4"/>
        <v>125.0000000721775</v>
      </c>
      <c r="AD63" s="41">
        <v>0</v>
      </c>
      <c r="AE63" s="22">
        <v>1</v>
      </c>
      <c r="AF63" s="22">
        <v>3</v>
      </c>
      <c r="AG63" s="14">
        <v>1</v>
      </c>
      <c r="AH63" s="14">
        <v>1</v>
      </c>
      <c r="AI63" s="23">
        <v>0</v>
      </c>
      <c r="AJ63" s="23">
        <v>2</v>
      </c>
      <c r="AK63" s="23">
        <v>0</v>
      </c>
      <c r="AL63" s="23">
        <v>0</v>
      </c>
      <c r="AM63" s="10">
        <v>8</v>
      </c>
      <c r="AN63" s="10">
        <v>0</v>
      </c>
      <c r="AO63" s="10">
        <v>750</v>
      </c>
      <c r="AP63" s="94">
        <v>0</v>
      </c>
      <c r="AQ63" s="94">
        <v>0</v>
      </c>
      <c r="AR63" s="94">
        <v>0</v>
      </c>
      <c r="AS63" s="94">
        <v>0</v>
      </c>
      <c r="AT63" s="94">
        <v>0</v>
      </c>
      <c r="AU63" s="94">
        <v>0</v>
      </c>
      <c r="AV63" s="94">
        <v>0</v>
      </c>
      <c r="AW63" s="94">
        <v>0</v>
      </c>
      <c r="AX63" s="10">
        <v>0</v>
      </c>
      <c r="AY63" s="10">
        <v>1</v>
      </c>
      <c r="AZ63" s="10">
        <v>1</v>
      </c>
      <c r="BA63" s="10">
        <v>0</v>
      </c>
      <c r="BB63" s="10">
        <v>3</v>
      </c>
      <c r="BC63" s="10">
        <v>0</v>
      </c>
      <c r="BD63" s="10">
        <v>1</v>
      </c>
      <c r="BE63" s="10">
        <v>0</v>
      </c>
      <c r="BF63" s="10">
        <v>1</v>
      </c>
      <c r="BG63" s="10">
        <v>0</v>
      </c>
      <c r="BH63" s="94"/>
      <c r="BI63" s="94"/>
      <c r="BJ63" s="10">
        <v>155</v>
      </c>
      <c r="BK63" s="12"/>
      <c r="BM63" s="23">
        <v>1</v>
      </c>
      <c r="BN63" s="23">
        <v>0</v>
      </c>
      <c r="BO63" s="23">
        <v>0</v>
      </c>
      <c r="BP63" s="23">
        <v>0</v>
      </c>
      <c r="BQ63" s="23">
        <v>0</v>
      </c>
      <c r="BR63" s="23">
        <v>0</v>
      </c>
      <c r="BS63" s="23">
        <v>0</v>
      </c>
      <c r="BT63" s="96"/>
      <c r="BU63" s="38">
        <v>43200.267361111102</v>
      </c>
      <c r="BV63" s="44"/>
      <c r="BW63" s="38">
        <v>43200.395833333299</v>
      </c>
      <c r="BX63" s="38">
        <v>43200.40625</v>
      </c>
      <c r="BY63" s="38">
        <v>43200.40625</v>
      </c>
      <c r="BZ63" s="25">
        <v>0</v>
      </c>
      <c r="CA63" s="25">
        <v>0</v>
      </c>
      <c r="CB63" s="23">
        <v>1</v>
      </c>
      <c r="CC63" s="23">
        <v>0</v>
      </c>
      <c r="CD63" s="23">
        <v>1</v>
      </c>
      <c r="CE63" s="23">
        <v>0</v>
      </c>
      <c r="CF63" s="23">
        <v>0</v>
      </c>
      <c r="CG63" s="23"/>
      <c r="CH63" s="105">
        <v>0</v>
      </c>
      <c r="CI63" s="10">
        <v>1</v>
      </c>
      <c r="CJ63" s="10">
        <v>1</v>
      </c>
      <c r="CK63" s="10">
        <v>1</v>
      </c>
      <c r="CL63" s="10">
        <v>1</v>
      </c>
      <c r="CM63" s="10">
        <v>1</v>
      </c>
      <c r="CN63" s="10">
        <v>1</v>
      </c>
      <c r="CO63" s="10">
        <v>0</v>
      </c>
      <c r="CP63" s="10">
        <v>0</v>
      </c>
      <c r="CQ63" s="10">
        <v>0</v>
      </c>
      <c r="CR63" s="10">
        <v>0</v>
      </c>
      <c r="CS63" s="10">
        <v>0</v>
      </c>
      <c r="CT63" s="10">
        <v>0</v>
      </c>
      <c r="CU63" s="10">
        <v>0</v>
      </c>
      <c r="CV63" s="10">
        <v>0</v>
      </c>
      <c r="CW63" s="10">
        <v>0</v>
      </c>
      <c r="CX63" s="25">
        <v>0</v>
      </c>
      <c r="CY63" s="25">
        <v>2</v>
      </c>
      <c r="CZ63" s="25">
        <v>0</v>
      </c>
      <c r="DA63" s="25">
        <v>2</v>
      </c>
      <c r="DB63" s="25">
        <v>0</v>
      </c>
      <c r="DC63" s="105"/>
      <c r="DD63" s="25">
        <v>1</v>
      </c>
      <c r="DE63" s="25"/>
      <c r="DF63" s="25">
        <v>1</v>
      </c>
      <c r="DG63" s="105"/>
      <c r="DH63" s="25">
        <v>2</v>
      </c>
      <c r="DI63" s="25">
        <v>2</v>
      </c>
      <c r="DJ63" s="25">
        <v>0</v>
      </c>
      <c r="DK63" s="25">
        <v>0</v>
      </c>
      <c r="DL63" s="25">
        <v>0</v>
      </c>
      <c r="DM63" s="25">
        <v>0</v>
      </c>
      <c r="DN63" s="25">
        <v>0</v>
      </c>
      <c r="DO63" s="25">
        <v>0</v>
      </c>
      <c r="DP63" s="25">
        <v>0</v>
      </c>
      <c r="DQ63" s="25">
        <v>0</v>
      </c>
      <c r="DR63" s="25">
        <v>1</v>
      </c>
      <c r="DS63" s="25">
        <v>0</v>
      </c>
      <c r="DT63" s="26">
        <v>1</v>
      </c>
      <c r="DU63" s="26">
        <v>1</v>
      </c>
      <c r="DV63" s="26">
        <v>0</v>
      </c>
      <c r="DW63" s="26">
        <v>0</v>
      </c>
      <c r="DX63" s="26"/>
      <c r="DY63" s="10">
        <v>1.6</v>
      </c>
      <c r="DZ63" s="10">
        <v>0.67</v>
      </c>
      <c r="EB63" s="10">
        <v>366</v>
      </c>
      <c r="EC63" s="10">
        <v>1</v>
      </c>
      <c r="ED63" s="10">
        <v>137</v>
      </c>
      <c r="EE63" s="10">
        <v>6.3</v>
      </c>
      <c r="EF63" s="10">
        <v>100</v>
      </c>
      <c r="EG63" s="10">
        <v>2690</v>
      </c>
      <c r="EH63" s="10">
        <v>407</v>
      </c>
      <c r="EI63" s="10">
        <v>436</v>
      </c>
      <c r="EJ63" s="10">
        <v>73</v>
      </c>
      <c r="EK63" s="10">
        <v>0</v>
      </c>
      <c r="EL63" s="10">
        <v>10.199999999999999</v>
      </c>
      <c r="EO63" s="94">
        <v>0</v>
      </c>
      <c r="EP63" s="10">
        <v>127</v>
      </c>
      <c r="EQ63" s="10">
        <v>13</v>
      </c>
      <c r="ES63" s="10">
        <v>10.8</v>
      </c>
      <c r="ET63" s="94"/>
      <c r="EU63" s="10">
        <v>0</v>
      </c>
      <c r="EV63" s="10">
        <v>8</v>
      </c>
      <c r="EW63" s="94"/>
      <c r="EZ63" s="13"/>
      <c r="FD63" s="10">
        <v>6.8</v>
      </c>
      <c r="FE63" s="10">
        <v>7.47</v>
      </c>
      <c r="FF63" s="10" t="s">
        <v>588</v>
      </c>
      <c r="FI63" s="10">
        <v>1</v>
      </c>
      <c r="FJ63" s="10">
        <v>1</v>
      </c>
      <c r="FK63" s="10">
        <v>1</v>
      </c>
      <c r="FL63" s="10">
        <v>0</v>
      </c>
      <c r="FM63" s="10">
        <v>1</v>
      </c>
      <c r="FN63" s="10">
        <v>1</v>
      </c>
      <c r="FO63" s="10">
        <v>0</v>
      </c>
      <c r="FP63" s="10">
        <v>0</v>
      </c>
      <c r="FQ63" s="10">
        <v>2</v>
      </c>
      <c r="FR63" s="10">
        <v>2</v>
      </c>
      <c r="FS63" s="10">
        <v>0</v>
      </c>
      <c r="FT63" s="10">
        <v>60</v>
      </c>
      <c r="FU63" s="10">
        <v>1</v>
      </c>
      <c r="FV63" s="10">
        <v>1</v>
      </c>
      <c r="FW63" s="94">
        <v>0</v>
      </c>
      <c r="FX63" s="10">
        <v>0</v>
      </c>
      <c r="FY63" s="10">
        <v>2</v>
      </c>
      <c r="FZ63" s="10">
        <v>4</v>
      </c>
      <c r="GA63" s="10">
        <v>40</v>
      </c>
      <c r="GC63" s="52"/>
      <c r="GD63" s="10" t="s">
        <v>586</v>
      </c>
    </row>
    <row r="64" spans="1:187" s="10" customFormat="1" ht="15" x14ac:dyDescent="0.2">
      <c r="A64" s="23">
        <v>13268941</v>
      </c>
      <c r="B64" s="22">
        <v>0</v>
      </c>
      <c r="C64" s="29">
        <v>43158</v>
      </c>
      <c r="H64" s="10">
        <v>1</v>
      </c>
      <c r="I64" s="10">
        <v>0</v>
      </c>
      <c r="J64" s="23">
        <v>51</v>
      </c>
      <c r="K64" s="23">
        <v>1</v>
      </c>
      <c r="L64" s="23">
        <v>0</v>
      </c>
      <c r="M64" s="23">
        <v>1</v>
      </c>
      <c r="N64" s="23"/>
      <c r="O64" s="23">
        <v>3</v>
      </c>
      <c r="P64" s="94"/>
      <c r="Q64" s="23">
        <v>85</v>
      </c>
      <c r="R64" s="23">
        <v>175</v>
      </c>
      <c r="S64" s="34">
        <f t="shared" si="1"/>
        <v>27.755102040816325</v>
      </c>
      <c r="T64" s="25">
        <v>0</v>
      </c>
      <c r="U64" s="23">
        <v>0</v>
      </c>
      <c r="V64" s="23">
        <v>3</v>
      </c>
      <c r="W64" s="38">
        <v>43157.972222222197</v>
      </c>
      <c r="X64" s="38">
        <v>43157.972222222197</v>
      </c>
      <c r="Y64" s="38">
        <v>43158.052083333299</v>
      </c>
      <c r="Z64" s="38">
        <v>43158.0625</v>
      </c>
      <c r="AA64" s="39">
        <f t="shared" si="2"/>
        <v>0</v>
      </c>
      <c r="AB64" s="39">
        <f t="shared" si="3"/>
        <v>114.99999998719431</v>
      </c>
      <c r="AC64" s="39">
        <f t="shared" si="4"/>
        <v>114.99999998719431</v>
      </c>
      <c r="AD64" s="41">
        <v>1</v>
      </c>
      <c r="AE64" s="22">
        <v>2</v>
      </c>
      <c r="AF64" s="22"/>
      <c r="AG64" s="99">
        <v>1</v>
      </c>
      <c r="AH64" s="99">
        <v>1</v>
      </c>
      <c r="AI64" s="23">
        <v>0</v>
      </c>
      <c r="AJ64" s="23">
        <v>0</v>
      </c>
      <c r="AK64" s="23">
        <v>0</v>
      </c>
      <c r="AL64" s="23">
        <v>1</v>
      </c>
      <c r="AM64" s="10">
        <v>10</v>
      </c>
      <c r="AO64" s="94"/>
      <c r="AP64" s="10">
        <v>1</v>
      </c>
      <c r="AQ64" s="10">
        <v>1</v>
      </c>
      <c r="AR64" s="10">
        <v>0</v>
      </c>
      <c r="AS64" s="10">
        <v>1</v>
      </c>
      <c r="AT64" s="10">
        <v>1</v>
      </c>
      <c r="AU64" s="10">
        <v>1</v>
      </c>
      <c r="AV64" s="10">
        <v>0</v>
      </c>
      <c r="AW64" s="10">
        <v>1</v>
      </c>
      <c r="AX64" s="10">
        <v>12</v>
      </c>
      <c r="AY64" s="10">
        <v>0</v>
      </c>
      <c r="AZ64" s="10">
        <v>0</v>
      </c>
      <c r="BA64" s="10">
        <v>0</v>
      </c>
      <c r="BB64" s="10">
        <v>2</v>
      </c>
      <c r="BC64" s="10">
        <v>0</v>
      </c>
      <c r="BD64" s="10">
        <v>0</v>
      </c>
      <c r="BE64" s="10">
        <v>0</v>
      </c>
      <c r="BF64" s="10">
        <v>1</v>
      </c>
      <c r="BG64" s="10">
        <v>1</v>
      </c>
      <c r="BH64" s="10">
        <v>0</v>
      </c>
      <c r="BI64" s="10">
        <v>0</v>
      </c>
      <c r="BJ64" s="10">
        <v>115</v>
      </c>
      <c r="BK64" s="12"/>
      <c r="BM64" s="23">
        <v>1</v>
      </c>
      <c r="BN64" s="23">
        <v>0</v>
      </c>
      <c r="BO64" s="23">
        <v>0</v>
      </c>
      <c r="BP64" s="23">
        <v>1</v>
      </c>
      <c r="BQ64" s="23">
        <v>1</v>
      </c>
      <c r="BR64" s="23">
        <v>0</v>
      </c>
      <c r="BS64" s="23">
        <v>0</v>
      </c>
      <c r="BT64" s="96"/>
      <c r="BU64" s="38">
        <v>43158.083333333299</v>
      </c>
      <c r="BV64" s="38">
        <v>43158.15625</v>
      </c>
      <c r="BW64" s="38">
        <v>43158.125</v>
      </c>
      <c r="BX64" s="38">
        <v>43158.177083333299</v>
      </c>
      <c r="BY64" s="43"/>
      <c r="BZ64" s="105"/>
      <c r="CA64" s="105"/>
      <c r="CB64" s="23">
        <v>0</v>
      </c>
      <c r="CC64" s="23"/>
      <c r="CD64" s="23">
        <v>0</v>
      </c>
      <c r="CE64" s="23"/>
      <c r="CF64" s="23">
        <v>0</v>
      </c>
      <c r="CG64" s="23"/>
      <c r="CH64" s="105">
        <v>0</v>
      </c>
      <c r="CI64" s="10">
        <v>1</v>
      </c>
      <c r="CJ64" s="10">
        <v>0</v>
      </c>
      <c r="CK64" s="10">
        <v>0</v>
      </c>
      <c r="CL64" s="10">
        <v>1</v>
      </c>
      <c r="CM64" s="10">
        <v>0</v>
      </c>
      <c r="CN64" s="10">
        <v>0</v>
      </c>
      <c r="CO64" s="10">
        <v>0</v>
      </c>
      <c r="CP64" s="10">
        <v>0</v>
      </c>
      <c r="CQ64" s="10">
        <v>0</v>
      </c>
      <c r="CR64" s="10">
        <v>0</v>
      </c>
      <c r="CS64" s="10">
        <v>0</v>
      </c>
      <c r="CT64" s="10">
        <v>0</v>
      </c>
      <c r="CU64" s="10">
        <v>0</v>
      </c>
      <c r="CV64" s="10">
        <v>0</v>
      </c>
      <c r="CW64" s="10">
        <v>0</v>
      </c>
      <c r="CX64" s="25">
        <v>0</v>
      </c>
      <c r="CY64" s="25">
        <v>5</v>
      </c>
      <c r="CZ64" s="25">
        <v>0</v>
      </c>
      <c r="DA64" s="25">
        <v>5</v>
      </c>
      <c r="DB64" s="25">
        <v>0</v>
      </c>
      <c r="DC64" s="105">
        <v>3</v>
      </c>
      <c r="DD64" s="25">
        <v>0</v>
      </c>
      <c r="DE64" s="105">
        <v>4</v>
      </c>
      <c r="DF64" s="25">
        <v>0</v>
      </c>
      <c r="DG64" s="105">
        <v>4</v>
      </c>
      <c r="DH64" s="25">
        <v>0</v>
      </c>
      <c r="DI64" s="25">
        <v>3</v>
      </c>
      <c r="DJ64" s="25">
        <v>0</v>
      </c>
      <c r="DK64" s="25">
        <v>1</v>
      </c>
      <c r="DL64" s="25">
        <v>0</v>
      </c>
      <c r="DM64" s="25">
        <v>1</v>
      </c>
      <c r="DN64" s="25">
        <v>1</v>
      </c>
      <c r="DO64" s="25">
        <v>0</v>
      </c>
      <c r="DP64" s="25">
        <v>0</v>
      </c>
      <c r="DQ64" s="25">
        <v>0</v>
      </c>
      <c r="DR64" s="25">
        <v>1</v>
      </c>
      <c r="DS64" s="25">
        <v>0</v>
      </c>
      <c r="DT64" s="26">
        <v>1</v>
      </c>
      <c r="DU64" s="26">
        <v>0</v>
      </c>
      <c r="DV64" s="26">
        <v>0</v>
      </c>
      <c r="DW64" s="26">
        <v>0</v>
      </c>
      <c r="DX64" s="26"/>
      <c r="DY64" s="10">
        <v>1.74</v>
      </c>
      <c r="EA64" s="10">
        <v>190</v>
      </c>
      <c r="EB64" s="10">
        <v>607</v>
      </c>
      <c r="ED64" s="10">
        <v>151</v>
      </c>
      <c r="EE64" s="10">
        <v>5.82</v>
      </c>
      <c r="EF64" s="10">
        <v>98</v>
      </c>
      <c r="EH64" s="10">
        <v>168</v>
      </c>
      <c r="EI64" s="10">
        <v>89</v>
      </c>
      <c r="EJ64" s="10">
        <v>89</v>
      </c>
      <c r="EK64" s="10">
        <v>0.4</v>
      </c>
      <c r="EL64" s="10">
        <v>8.1999999999999993</v>
      </c>
      <c r="EO64" s="94">
        <v>0</v>
      </c>
      <c r="EP64" s="10">
        <v>83</v>
      </c>
      <c r="EQ64" s="10">
        <v>27</v>
      </c>
      <c r="ET64" s="10">
        <v>1</v>
      </c>
      <c r="EU64" s="10">
        <v>0</v>
      </c>
      <c r="EV64" s="10">
        <v>8.5</v>
      </c>
      <c r="EW64" s="10">
        <v>1</v>
      </c>
      <c r="EZ64" s="13"/>
      <c r="FI64" s="10">
        <v>1</v>
      </c>
      <c r="FJ64" s="10">
        <v>1</v>
      </c>
      <c r="FK64" s="10">
        <v>0</v>
      </c>
      <c r="FL64" s="10">
        <v>0</v>
      </c>
      <c r="FM64" s="10">
        <v>0</v>
      </c>
      <c r="FN64" s="10">
        <v>0</v>
      </c>
      <c r="FO64" s="10">
        <v>0</v>
      </c>
      <c r="FP64" s="10">
        <v>0</v>
      </c>
      <c r="FQ64" s="10">
        <v>6</v>
      </c>
      <c r="FS64" s="10">
        <v>0</v>
      </c>
      <c r="FU64" s="10">
        <v>1</v>
      </c>
      <c r="FV64" s="10">
        <v>4</v>
      </c>
      <c r="FW64" s="94">
        <v>0</v>
      </c>
      <c r="FX64" s="10">
        <v>0</v>
      </c>
      <c r="FY64" s="10">
        <v>1</v>
      </c>
      <c r="FZ64" s="10">
        <v>0</v>
      </c>
      <c r="GA64" s="10">
        <v>50</v>
      </c>
      <c r="GC64" s="52" t="s">
        <v>464</v>
      </c>
      <c r="GD64" s="10" t="s">
        <v>463</v>
      </c>
    </row>
    <row r="65" spans="1:187" s="10" customFormat="1" ht="15" x14ac:dyDescent="0.2">
      <c r="A65" s="22">
        <v>13267935</v>
      </c>
      <c r="B65" s="22">
        <v>0</v>
      </c>
      <c r="C65" s="29">
        <v>43153</v>
      </c>
      <c r="D65" s="10">
        <v>8</v>
      </c>
      <c r="E65" s="10">
        <v>15</v>
      </c>
      <c r="F65" s="10">
        <v>22</v>
      </c>
      <c r="G65" s="10">
        <f t="shared" si="0"/>
        <v>14</v>
      </c>
      <c r="H65" s="10">
        <v>1</v>
      </c>
      <c r="I65" s="10">
        <v>0</v>
      </c>
      <c r="J65" s="23">
        <v>18</v>
      </c>
      <c r="K65" s="23">
        <v>2</v>
      </c>
      <c r="L65" s="23">
        <v>0</v>
      </c>
      <c r="M65" s="23">
        <v>1</v>
      </c>
      <c r="N65" s="23"/>
      <c r="O65" s="23">
        <v>0</v>
      </c>
      <c r="P65" s="94"/>
      <c r="Q65" s="23">
        <v>75</v>
      </c>
      <c r="R65" s="23">
        <v>165</v>
      </c>
      <c r="S65" s="34">
        <f t="shared" si="1"/>
        <v>27.548209366391188</v>
      </c>
      <c r="T65" s="25">
        <v>0</v>
      </c>
      <c r="U65" s="23">
        <v>0</v>
      </c>
      <c r="V65" s="23">
        <v>6</v>
      </c>
      <c r="W65" s="38">
        <v>43153.6159722222</v>
      </c>
      <c r="X65" s="38">
        <v>43153.620833333298</v>
      </c>
      <c r="Y65" s="38">
        <v>43153.668055555601</v>
      </c>
      <c r="Z65" s="38">
        <v>43153.672916666699</v>
      </c>
      <c r="AA65" s="39">
        <f t="shared" si="2"/>
        <v>6.9999999809078872</v>
      </c>
      <c r="AB65" s="39">
        <f t="shared" si="3"/>
        <v>68.000000116880983</v>
      </c>
      <c r="AC65" s="39">
        <f t="shared" si="4"/>
        <v>75.00000009778887</v>
      </c>
      <c r="AD65" s="41">
        <v>0</v>
      </c>
      <c r="AE65" s="22">
        <v>1</v>
      </c>
      <c r="AF65" s="22">
        <v>0</v>
      </c>
      <c r="AG65" s="14">
        <v>1</v>
      </c>
      <c r="AH65" s="14">
        <v>1</v>
      </c>
      <c r="AI65" s="23">
        <v>0</v>
      </c>
      <c r="AJ65" s="23">
        <v>0</v>
      </c>
      <c r="AK65" s="23">
        <v>0</v>
      </c>
      <c r="AL65" s="23">
        <v>1</v>
      </c>
      <c r="AM65" s="94">
        <v>6</v>
      </c>
      <c r="AN65" s="10">
        <v>0</v>
      </c>
      <c r="AO65" s="94"/>
      <c r="AP65" s="94"/>
      <c r="AQ65" s="94"/>
      <c r="AR65" s="94"/>
      <c r="AS65" s="94"/>
      <c r="AT65" s="94"/>
      <c r="AU65" s="94"/>
      <c r="AV65" s="94"/>
      <c r="AW65" s="94"/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94"/>
      <c r="BJ65" s="10">
        <v>107</v>
      </c>
      <c r="BK65" s="12">
        <v>600</v>
      </c>
      <c r="BM65" s="23">
        <v>1</v>
      </c>
      <c r="BN65" s="23">
        <v>0</v>
      </c>
      <c r="BO65" s="23">
        <v>0</v>
      </c>
      <c r="BP65" s="23">
        <v>1</v>
      </c>
      <c r="BQ65" s="23">
        <v>1</v>
      </c>
      <c r="BR65" s="23">
        <v>0</v>
      </c>
      <c r="BS65" s="23">
        <v>0</v>
      </c>
      <c r="BT65" s="96"/>
      <c r="BU65" s="38">
        <v>43153.708333333299</v>
      </c>
      <c r="BV65" s="38">
        <v>43153.888888888898</v>
      </c>
      <c r="BW65" s="38">
        <v>43153.869444444397</v>
      </c>
      <c r="BX65" s="38">
        <v>43153.910416666702</v>
      </c>
      <c r="BY65" s="38">
        <v>43153.888888888898</v>
      </c>
      <c r="BZ65" s="25">
        <v>0</v>
      </c>
      <c r="CA65" s="105"/>
      <c r="CB65" s="23">
        <v>1</v>
      </c>
      <c r="CC65" s="23">
        <v>0</v>
      </c>
      <c r="CD65" s="23">
        <v>1</v>
      </c>
      <c r="CE65" s="23">
        <v>0</v>
      </c>
      <c r="CF65" s="23">
        <v>0</v>
      </c>
      <c r="CG65" s="23"/>
      <c r="CH65" s="105">
        <v>0</v>
      </c>
      <c r="CI65" s="10">
        <v>1</v>
      </c>
      <c r="CJ65" s="10">
        <v>0</v>
      </c>
      <c r="CK65" s="10">
        <v>0</v>
      </c>
      <c r="CL65" s="10">
        <v>1</v>
      </c>
      <c r="CM65" s="10">
        <v>1</v>
      </c>
      <c r="CN65" s="10">
        <v>1</v>
      </c>
      <c r="CO65" s="10">
        <v>0</v>
      </c>
      <c r="CP65" s="10">
        <v>0</v>
      </c>
      <c r="CQ65" s="10">
        <v>0</v>
      </c>
      <c r="CR65" s="10">
        <v>0</v>
      </c>
      <c r="CS65" s="10">
        <v>0</v>
      </c>
      <c r="CT65" s="10">
        <v>0</v>
      </c>
      <c r="CU65" s="10">
        <v>0</v>
      </c>
      <c r="CV65" s="10">
        <v>0</v>
      </c>
      <c r="CW65" s="10">
        <v>0</v>
      </c>
      <c r="CX65" s="25">
        <v>0</v>
      </c>
      <c r="CY65" s="25">
        <v>2</v>
      </c>
      <c r="CZ65" s="25">
        <v>0</v>
      </c>
      <c r="DA65" s="25">
        <v>2</v>
      </c>
      <c r="DB65" s="25">
        <v>0</v>
      </c>
      <c r="DC65" s="25">
        <v>4</v>
      </c>
      <c r="DD65" s="25">
        <v>1</v>
      </c>
      <c r="DE65" s="25"/>
      <c r="DF65" s="25">
        <v>0</v>
      </c>
      <c r="DG65" s="105">
        <v>3</v>
      </c>
      <c r="DH65" s="25">
        <v>1</v>
      </c>
      <c r="DI65" s="25">
        <v>3</v>
      </c>
      <c r="DJ65" s="25">
        <v>0</v>
      </c>
      <c r="DK65" s="25">
        <v>0</v>
      </c>
      <c r="DL65" s="25">
        <v>0</v>
      </c>
      <c r="DM65" s="25">
        <v>0</v>
      </c>
      <c r="DN65" s="25">
        <v>0</v>
      </c>
      <c r="DO65" s="25">
        <v>0</v>
      </c>
      <c r="DP65" s="25">
        <v>0</v>
      </c>
      <c r="DQ65" s="25">
        <v>0</v>
      </c>
      <c r="DR65" s="25">
        <v>1</v>
      </c>
      <c r="DS65" s="25">
        <v>0</v>
      </c>
      <c r="DT65" s="26">
        <v>1</v>
      </c>
      <c r="DU65" s="26">
        <v>0</v>
      </c>
      <c r="DV65" s="26">
        <v>0</v>
      </c>
      <c r="DW65" s="26">
        <v>0</v>
      </c>
      <c r="DX65" s="26"/>
      <c r="DY65" s="10">
        <v>1.03</v>
      </c>
      <c r="EA65" s="10">
        <v>104</v>
      </c>
      <c r="EB65" s="10">
        <v>318</v>
      </c>
      <c r="ED65" s="10">
        <v>144</v>
      </c>
      <c r="EE65" s="10">
        <v>9.1999999999999993</v>
      </c>
      <c r="EF65" s="10">
        <v>87</v>
      </c>
      <c r="EH65" s="10">
        <v>198</v>
      </c>
      <c r="EI65" s="10">
        <v>353</v>
      </c>
      <c r="EJ65" s="10">
        <v>15</v>
      </c>
      <c r="EK65" s="10">
        <v>0</v>
      </c>
      <c r="EL65" s="10">
        <v>7.7</v>
      </c>
      <c r="EO65" s="94"/>
      <c r="ET65" s="94"/>
      <c r="EU65" s="10">
        <v>0</v>
      </c>
      <c r="EV65" s="10">
        <v>7.5</v>
      </c>
      <c r="EW65" s="94"/>
      <c r="EZ65" s="13"/>
      <c r="FI65" s="10">
        <v>1</v>
      </c>
      <c r="FJ65" s="10">
        <v>1</v>
      </c>
      <c r="FK65" s="10">
        <v>1</v>
      </c>
      <c r="FL65" s="10">
        <v>0</v>
      </c>
      <c r="FM65" s="10">
        <v>0</v>
      </c>
      <c r="FN65" s="10">
        <v>0</v>
      </c>
      <c r="FO65" s="10">
        <v>0</v>
      </c>
      <c r="FP65" s="10">
        <v>0</v>
      </c>
      <c r="FQ65" s="10">
        <v>5</v>
      </c>
      <c r="FR65" s="10">
        <v>3</v>
      </c>
      <c r="FS65" s="10">
        <v>0</v>
      </c>
      <c r="FU65" s="10">
        <v>0</v>
      </c>
      <c r="FV65" s="10">
        <v>4</v>
      </c>
      <c r="FW65" s="94">
        <v>0</v>
      </c>
      <c r="FX65" s="10">
        <v>0</v>
      </c>
      <c r="FY65" s="10">
        <v>1</v>
      </c>
      <c r="FZ65" s="10">
        <v>1</v>
      </c>
      <c r="GA65" s="10">
        <v>40</v>
      </c>
      <c r="GC65" s="52"/>
      <c r="GD65" s="10" t="s">
        <v>615</v>
      </c>
    </row>
    <row r="66" spans="1:187" s="10" customFormat="1" ht="15" x14ac:dyDescent="0.2">
      <c r="A66" s="23">
        <v>13266874</v>
      </c>
      <c r="B66" s="22">
        <v>0</v>
      </c>
      <c r="C66" s="29">
        <v>43149</v>
      </c>
      <c r="D66" s="10">
        <v>44</v>
      </c>
      <c r="E66" s="10">
        <v>35</v>
      </c>
      <c r="F66" s="10">
        <v>24</v>
      </c>
      <c r="G66" s="10">
        <f t="shared" si="0"/>
        <v>-20</v>
      </c>
      <c r="H66" s="10">
        <v>0</v>
      </c>
      <c r="I66" s="10">
        <v>0</v>
      </c>
      <c r="J66" s="23">
        <v>32</v>
      </c>
      <c r="K66" s="23">
        <v>0</v>
      </c>
      <c r="L66" s="23">
        <v>0</v>
      </c>
      <c r="M66" s="23">
        <v>1</v>
      </c>
      <c r="N66" s="23"/>
      <c r="O66" s="23">
        <v>0</v>
      </c>
      <c r="P66" s="94"/>
      <c r="Q66" s="23">
        <v>77</v>
      </c>
      <c r="R66" s="23">
        <v>180</v>
      </c>
      <c r="S66" s="34">
        <f t="shared" si="1"/>
        <v>23.76543209876543</v>
      </c>
      <c r="T66" s="25">
        <v>0</v>
      </c>
      <c r="U66" s="23">
        <v>0</v>
      </c>
      <c r="V66" s="23">
        <v>2</v>
      </c>
      <c r="W66" s="38">
        <v>43149.907638888901</v>
      </c>
      <c r="X66" s="38">
        <v>43149.913194444402</v>
      </c>
      <c r="Y66" s="38">
        <v>43149.986111111102</v>
      </c>
      <c r="Z66" s="38">
        <v>43149.993055555598</v>
      </c>
      <c r="AA66" s="39">
        <f t="shared" si="2"/>
        <v>7.9999999213032424</v>
      </c>
      <c r="AB66" s="39">
        <f t="shared" si="3"/>
        <v>105.00000004889444</v>
      </c>
      <c r="AC66" s="39">
        <f t="shared" si="4"/>
        <v>112.99999997019768</v>
      </c>
      <c r="AD66" s="41">
        <v>0</v>
      </c>
      <c r="AE66" s="22">
        <v>1</v>
      </c>
      <c r="AF66" s="22">
        <v>2</v>
      </c>
      <c r="AG66" s="14">
        <v>8</v>
      </c>
      <c r="AH66" s="14">
        <v>1</v>
      </c>
      <c r="AI66" s="23">
        <v>0</v>
      </c>
      <c r="AJ66" s="23">
        <v>0</v>
      </c>
      <c r="AK66" s="23">
        <v>0</v>
      </c>
      <c r="AL66" s="23">
        <v>0</v>
      </c>
      <c r="AM66" s="10">
        <v>7</v>
      </c>
      <c r="AO66" s="10">
        <v>200</v>
      </c>
      <c r="AP66" s="10">
        <v>0</v>
      </c>
      <c r="AQ66" s="10">
        <v>0</v>
      </c>
      <c r="AR66" s="10">
        <v>1</v>
      </c>
      <c r="AS66" s="10">
        <v>0</v>
      </c>
      <c r="AT66" s="10">
        <v>0</v>
      </c>
      <c r="AU66" s="10">
        <v>0</v>
      </c>
      <c r="AV66" s="10">
        <v>0</v>
      </c>
      <c r="AW66" s="10">
        <v>1</v>
      </c>
      <c r="AX66" s="10">
        <v>4</v>
      </c>
      <c r="AY66" s="10">
        <v>0</v>
      </c>
      <c r="AZ66" s="10">
        <v>0</v>
      </c>
      <c r="BA66" s="10">
        <v>1</v>
      </c>
      <c r="BB66" s="10">
        <v>3</v>
      </c>
      <c r="BC66" s="10">
        <v>0</v>
      </c>
      <c r="BD66" s="10">
        <v>1</v>
      </c>
      <c r="BE66" s="10">
        <v>0</v>
      </c>
      <c r="BF66" s="10">
        <v>1</v>
      </c>
      <c r="BG66" s="10">
        <v>0</v>
      </c>
      <c r="BH66" s="10">
        <v>0</v>
      </c>
      <c r="BI66" s="10">
        <v>0</v>
      </c>
      <c r="BJ66" s="10">
        <v>151</v>
      </c>
      <c r="BK66" s="12"/>
      <c r="BM66" s="23">
        <v>1</v>
      </c>
      <c r="BN66" s="23">
        <v>0</v>
      </c>
      <c r="BO66" s="23">
        <v>0</v>
      </c>
      <c r="BP66" s="23">
        <v>0</v>
      </c>
      <c r="BQ66" s="23">
        <v>0</v>
      </c>
      <c r="BR66" s="23">
        <v>0</v>
      </c>
      <c r="BS66" s="23">
        <v>0</v>
      </c>
      <c r="BT66" s="96"/>
      <c r="BU66" s="38">
        <v>43150.012499999997</v>
      </c>
      <c r="BV66" s="44"/>
      <c r="BW66" s="38">
        <v>43150.083333333299</v>
      </c>
      <c r="BX66" s="38">
        <v>43150.111111111102</v>
      </c>
      <c r="BY66" s="38">
        <v>43150.111111111102</v>
      </c>
      <c r="BZ66" s="25">
        <v>0</v>
      </c>
      <c r="CA66" s="25">
        <v>0</v>
      </c>
      <c r="CB66" s="23">
        <v>1</v>
      </c>
      <c r="CC66" s="23">
        <v>0</v>
      </c>
      <c r="CD66" s="23">
        <v>1</v>
      </c>
      <c r="CE66" s="23">
        <v>0</v>
      </c>
      <c r="CF66" s="23">
        <v>0</v>
      </c>
      <c r="CG66" s="23"/>
      <c r="CH66" s="105">
        <v>0</v>
      </c>
      <c r="CI66" s="10">
        <v>1</v>
      </c>
      <c r="CJ66" s="10">
        <v>0</v>
      </c>
      <c r="CK66" s="10">
        <v>0</v>
      </c>
      <c r="CL66" s="10">
        <v>1</v>
      </c>
      <c r="CM66" s="10">
        <v>1</v>
      </c>
      <c r="CN66" s="10">
        <v>1</v>
      </c>
      <c r="CO66" s="10">
        <v>0</v>
      </c>
      <c r="CP66" s="10">
        <v>0</v>
      </c>
      <c r="CQ66" s="10">
        <v>0</v>
      </c>
      <c r="CR66" s="10">
        <v>0</v>
      </c>
      <c r="CS66" s="10">
        <v>0</v>
      </c>
      <c r="CT66" s="10">
        <v>0</v>
      </c>
      <c r="CU66" s="10">
        <v>0</v>
      </c>
      <c r="CV66" s="10">
        <v>0</v>
      </c>
      <c r="CW66" s="10">
        <v>0</v>
      </c>
      <c r="CX66" s="25">
        <v>0</v>
      </c>
      <c r="CY66" s="25">
        <v>0</v>
      </c>
      <c r="CZ66" s="25">
        <v>0</v>
      </c>
      <c r="DA66" s="25">
        <v>0</v>
      </c>
      <c r="DB66" s="25">
        <v>0</v>
      </c>
      <c r="DC66" s="25">
        <v>3</v>
      </c>
      <c r="DD66" s="25">
        <v>1</v>
      </c>
      <c r="DE66" s="105"/>
      <c r="DF66" s="25">
        <v>0</v>
      </c>
      <c r="DG66" s="105">
        <v>1</v>
      </c>
      <c r="DH66" s="25">
        <v>1</v>
      </c>
      <c r="DI66" s="25">
        <v>1</v>
      </c>
      <c r="DJ66" s="25">
        <v>0</v>
      </c>
      <c r="DK66" s="25">
        <v>1</v>
      </c>
      <c r="DL66" s="25">
        <v>0</v>
      </c>
      <c r="DM66" s="25">
        <v>0</v>
      </c>
      <c r="DN66" s="25">
        <v>0</v>
      </c>
      <c r="DO66" s="25">
        <v>0</v>
      </c>
      <c r="DP66" s="25">
        <v>0</v>
      </c>
      <c r="DQ66" s="25">
        <v>0</v>
      </c>
      <c r="DR66" s="25">
        <v>1</v>
      </c>
      <c r="DS66" s="25">
        <v>0</v>
      </c>
      <c r="DT66" s="26">
        <v>0</v>
      </c>
      <c r="DU66" s="26">
        <v>1</v>
      </c>
      <c r="DV66" s="26">
        <v>0</v>
      </c>
      <c r="DW66" s="26">
        <v>0</v>
      </c>
      <c r="DX66" s="26"/>
      <c r="DY66" s="10">
        <v>1.48</v>
      </c>
      <c r="DZ66" s="10">
        <v>0.8</v>
      </c>
      <c r="EB66" s="10">
        <v>159</v>
      </c>
      <c r="EH66" s="10">
        <v>69</v>
      </c>
      <c r="EJ66" s="10">
        <v>23</v>
      </c>
      <c r="EL66" s="10">
        <v>9.9</v>
      </c>
      <c r="EM66" s="10">
        <v>17.5</v>
      </c>
      <c r="EO66" s="94">
        <v>0</v>
      </c>
      <c r="EP66" s="10">
        <v>98</v>
      </c>
      <c r="EQ66" s="10">
        <v>10</v>
      </c>
      <c r="ES66" s="10">
        <v>13.7</v>
      </c>
      <c r="ET66" s="10">
        <v>1</v>
      </c>
      <c r="EU66" s="10">
        <v>0</v>
      </c>
      <c r="EV66" s="10">
        <v>7</v>
      </c>
      <c r="EW66" s="10">
        <v>0</v>
      </c>
      <c r="EY66" s="10">
        <v>15</v>
      </c>
      <c r="EZ66" s="13"/>
      <c r="FA66" s="10">
        <v>1</v>
      </c>
      <c r="FD66" s="10">
        <v>6.85</v>
      </c>
      <c r="FE66" s="10">
        <v>7.14</v>
      </c>
      <c r="FF66" s="10" t="s">
        <v>585</v>
      </c>
      <c r="FI66" s="10">
        <v>1</v>
      </c>
      <c r="FJ66" s="10">
        <v>1</v>
      </c>
      <c r="FK66" s="10">
        <v>1</v>
      </c>
      <c r="FL66" s="10">
        <v>3</v>
      </c>
      <c r="FM66" s="10">
        <v>0</v>
      </c>
      <c r="FN66" s="10">
        <v>0</v>
      </c>
      <c r="FO66" s="10">
        <v>0</v>
      </c>
      <c r="FP66" s="10">
        <v>0</v>
      </c>
      <c r="FQ66" s="10">
        <v>7</v>
      </c>
      <c r="FR66" s="10">
        <v>2</v>
      </c>
      <c r="FS66" s="10">
        <v>0</v>
      </c>
      <c r="FT66" s="10">
        <v>45</v>
      </c>
      <c r="FU66" s="10">
        <v>2</v>
      </c>
      <c r="FV66" s="10">
        <v>2</v>
      </c>
      <c r="FW66" s="94">
        <v>0</v>
      </c>
      <c r="FX66" s="10">
        <v>0</v>
      </c>
      <c r="FY66" s="10">
        <v>1</v>
      </c>
      <c r="FZ66" s="10">
        <v>1</v>
      </c>
      <c r="GA66" s="10">
        <v>60</v>
      </c>
      <c r="GC66" s="52"/>
      <c r="GD66" s="10" t="s">
        <v>584</v>
      </c>
    </row>
    <row r="67" spans="1:187" s="10" customFormat="1" ht="15" x14ac:dyDescent="0.2">
      <c r="A67" s="23">
        <v>13265710</v>
      </c>
      <c r="B67" s="22">
        <v>0</v>
      </c>
      <c r="C67" s="29">
        <v>43144</v>
      </c>
      <c r="D67" s="10">
        <v>13</v>
      </c>
      <c r="E67" s="10">
        <v>12</v>
      </c>
      <c r="F67" s="10">
        <v>19</v>
      </c>
      <c r="G67" s="10">
        <f t="shared" ref="G67:G75" si="5">F67-D67</f>
        <v>6</v>
      </c>
      <c r="H67" s="10">
        <v>0</v>
      </c>
      <c r="I67" s="10">
        <v>0</v>
      </c>
      <c r="J67" s="23">
        <v>52</v>
      </c>
      <c r="K67" s="23">
        <v>1</v>
      </c>
      <c r="L67" s="23">
        <v>0</v>
      </c>
      <c r="M67" s="23">
        <v>1</v>
      </c>
      <c r="N67" s="23"/>
      <c r="O67" s="23">
        <v>2</v>
      </c>
      <c r="P67" s="94"/>
      <c r="Q67" s="23">
        <v>85</v>
      </c>
      <c r="R67" s="23">
        <v>185</v>
      </c>
      <c r="S67" s="34">
        <f t="shared" ref="S67:S75" si="6">Q67/((R67/100))^2</f>
        <v>24.835646457268076</v>
      </c>
      <c r="T67" s="25">
        <v>0</v>
      </c>
      <c r="U67" s="23">
        <v>0</v>
      </c>
      <c r="V67" s="23">
        <v>2</v>
      </c>
      <c r="W67" s="38">
        <v>43144.759722222203</v>
      </c>
      <c r="X67" s="38">
        <v>43144.771527777797</v>
      </c>
      <c r="Y67" s="38">
        <v>43144.815972222197</v>
      </c>
      <c r="Z67" s="38">
        <v>43144.819444444402</v>
      </c>
      <c r="AA67" s="39">
        <f t="shared" ref="AA67:AA75" si="7">(X67-W67)*1440</f>
        <v>17.000000055413693</v>
      </c>
      <c r="AB67" s="39">
        <f t="shared" ref="AB67:AB75" si="8">(Y67-X67)*1440</f>
        <v>63.999999936204404</v>
      </c>
      <c r="AC67" s="39">
        <f t="shared" ref="AC67:AC75" si="9">(Y67-W67)*1440</f>
        <v>80.999999991618097</v>
      </c>
      <c r="AD67" s="41">
        <v>0</v>
      </c>
      <c r="AE67" s="22">
        <v>1</v>
      </c>
      <c r="AF67" s="22">
        <v>2</v>
      </c>
      <c r="AG67" s="14">
        <v>1</v>
      </c>
      <c r="AH67" s="14">
        <v>1</v>
      </c>
      <c r="AI67" s="23">
        <v>0</v>
      </c>
      <c r="AJ67" s="23">
        <v>0</v>
      </c>
      <c r="AK67" s="23">
        <v>0</v>
      </c>
      <c r="AL67" s="23">
        <v>1</v>
      </c>
      <c r="AM67" s="10">
        <v>7</v>
      </c>
      <c r="AN67" s="10">
        <v>0</v>
      </c>
      <c r="AO67" s="10">
        <v>300</v>
      </c>
      <c r="AP67" s="10">
        <v>0</v>
      </c>
      <c r="AQ67" s="10">
        <v>0</v>
      </c>
      <c r="AR67" s="10">
        <v>0</v>
      </c>
      <c r="AS67" s="10">
        <v>0</v>
      </c>
      <c r="AT67" s="10">
        <v>1</v>
      </c>
      <c r="AU67" s="10">
        <v>0</v>
      </c>
      <c r="AV67" s="10">
        <v>0</v>
      </c>
      <c r="AW67" s="10">
        <v>1</v>
      </c>
      <c r="AX67" s="10">
        <v>0</v>
      </c>
      <c r="AY67" s="10">
        <v>0</v>
      </c>
      <c r="AZ67" s="10">
        <v>0</v>
      </c>
      <c r="BA67" s="10">
        <v>1</v>
      </c>
      <c r="BB67" s="10">
        <v>0</v>
      </c>
      <c r="BC67" s="10">
        <v>0</v>
      </c>
      <c r="BD67" s="10">
        <v>1</v>
      </c>
      <c r="BE67" s="10">
        <v>1</v>
      </c>
      <c r="BF67" s="10">
        <v>1</v>
      </c>
      <c r="BG67" s="10">
        <v>0</v>
      </c>
      <c r="BH67" s="94"/>
      <c r="BI67" s="94"/>
      <c r="BJ67" s="94">
        <v>114</v>
      </c>
      <c r="BK67" s="12">
        <v>1269</v>
      </c>
      <c r="BL67" s="10">
        <v>1080</v>
      </c>
      <c r="BM67" s="23">
        <v>1</v>
      </c>
      <c r="BN67" s="23">
        <v>1</v>
      </c>
      <c r="BO67" s="23">
        <v>0</v>
      </c>
      <c r="BP67" s="23">
        <v>1</v>
      </c>
      <c r="BQ67" s="23">
        <v>1</v>
      </c>
      <c r="BR67" s="23">
        <v>0</v>
      </c>
      <c r="BS67" s="23">
        <v>0</v>
      </c>
      <c r="BT67" s="96"/>
      <c r="BU67" s="38">
        <v>43144.838888888902</v>
      </c>
      <c r="BV67" s="38">
        <v>43144.965277777803</v>
      </c>
      <c r="BW67" s="38">
        <v>43144.916666666701</v>
      </c>
      <c r="BX67" s="38">
        <v>43144.982638888898</v>
      </c>
      <c r="BY67" s="43"/>
      <c r="BZ67" s="105"/>
      <c r="CA67" s="105"/>
      <c r="CB67" s="23">
        <v>1</v>
      </c>
      <c r="CC67" s="23">
        <v>0</v>
      </c>
      <c r="CD67" s="23">
        <v>1</v>
      </c>
      <c r="CE67" s="23">
        <v>0</v>
      </c>
      <c r="CF67" s="23">
        <v>0</v>
      </c>
      <c r="CG67" s="23"/>
      <c r="CH67" s="105"/>
      <c r="CI67" s="10">
        <v>1</v>
      </c>
      <c r="CJ67" s="10">
        <v>1</v>
      </c>
      <c r="CK67" s="10">
        <v>1</v>
      </c>
      <c r="CL67" s="10">
        <v>1</v>
      </c>
      <c r="CM67" s="10">
        <v>1</v>
      </c>
      <c r="CN67" s="10">
        <v>1</v>
      </c>
      <c r="CO67" s="10">
        <v>0</v>
      </c>
      <c r="CP67" s="10">
        <v>0</v>
      </c>
      <c r="CQ67" s="10">
        <v>0</v>
      </c>
      <c r="CR67" s="10">
        <v>0</v>
      </c>
      <c r="CS67" s="10">
        <v>0</v>
      </c>
      <c r="CT67" s="10">
        <v>0</v>
      </c>
      <c r="CU67" s="10">
        <v>1</v>
      </c>
      <c r="CV67" s="10">
        <v>1</v>
      </c>
      <c r="CW67" s="10">
        <v>1</v>
      </c>
      <c r="CX67" s="25">
        <v>0</v>
      </c>
      <c r="CY67" s="25">
        <v>2</v>
      </c>
      <c r="CZ67" s="25">
        <v>0</v>
      </c>
      <c r="DA67" s="25">
        <v>2</v>
      </c>
      <c r="DB67" s="25">
        <v>1</v>
      </c>
      <c r="DC67" s="25"/>
      <c r="DD67" s="25">
        <v>1</v>
      </c>
      <c r="DE67" s="25"/>
      <c r="DF67" s="25">
        <v>1</v>
      </c>
      <c r="DG67" s="25"/>
      <c r="DH67" s="25">
        <v>3</v>
      </c>
      <c r="DI67" s="105">
        <v>0</v>
      </c>
      <c r="DJ67" s="25">
        <v>0</v>
      </c>
      <c r="DK67" s="25">
        <v>0</v>
      </c>
      <c r="DL67" s="25">
        <v>0</v>
      </c>
      <c r="DM67" s="105"/>
      <c r="DN67" s="105"/>
      <c r="DO67" s="105"/>
      <c r="DP67" s="25">
        <v>0</v>
      </c>
      <c r="DQ67" s="105"/>
      <c r="DR67" s="25">
        <v>1</v>
      </c>
      <c r="DS67" s="105"/>
      <c r="DT67" s="103"/>
      <c r="DU67" s="103"/>
      <c r="DV67" s="103"/>
      <c r="DW67" s="103"/>
      <c r="DX67" s="26"/>
      <c r="DY67" s="10">
        <v>1.63</v>
      </c>
      <c r="DZ67" s="10">
        <v>1.06</v>
      </c>
      <c r="EA67" s="10">
        <v>113</v>
      </c>
      <c r="EO67" s="94"/>
      <c r="ET67" s="10">
        <v>0</v>
      </c>
      <c r="EU67" s="10">
        <v>0</v>
      </c>
      <c r="EV67" s="10">
        <v>7</v>
      </c>
      <c r="EW67" s="94"/>
      <c r="EZ67" s="13"/>
      <c r="FI67" s="10">
        <v>1</v>
      </c>
      <c r="FJ67" s="10">
        <v>1</v>
      </c>
      <c r="FK67" s="10">
        <v>1</v>
      </c>
      <c r="FL67" s="10">
        <v>0</v>
      </c>
      <c r="FM67" s="10">
        <v>1</v>
      </c>
      <c r="FN67" s="10">
        <v>0</v>
      </c>
      <c r="FO67" s="10">
        <v>0</v>
      </c>
      <c r="FP67" s="10">
        <v>0</v>
      </c>
      <c r="FQ67" s="10">
        <v>3</v>
      </c>
      <c r="FR67" s="10">
        <v>2</v>
      </c>
      <c r="FS67" s="10">
        <v>0</v>
      </c>
      <c r="FU67" s="10">
        <v>2</v>
      </c>
      <c r="FV67" s="10">
        <v>4</v>
      </c>
      <c r="FW67" s="94">
        <v>0</v>
      </c>
      <c r="FX67" s="94"/>
      <c r="FY67" s="94"/>
      <c r="FZ67" s="94"/>
      <c r="GA67" s="94"/>
      <c r="GC67" s="52"/>
      <c r="GD67" s="10" t="s">
        <v>577</v>
      </c>
    </row>
    <row r="68" spans="1:187" s="10" customFormat="1" ht="15" x14ac:dyDescent="0.2">
      <c r="A68" s="23">
        <v>13266130</v>
      </c>
      <c r="B68" s="22">
        <v>0</v>
      </c>
      <c r="C68" s="29">
        <v>43142</v>
      </c>
      <c r="H68" s="10">
        <v>0</v>
      </c>
      <c r="I68" s="10">
        <v>0</v>
      </c>
      <c r="J68" s="23">
        <v>50</v>
      </c>
      <c r="K68" s="23">
        <v>0</v>
      </c>
      <c r="L68" s="23">
        <v>0</v>
      </c>
      <c r="M68" s="23">
        <v>1</v>
      </c>
      <c r="N68" s="23"/>
      <c r="O68" s="23">
        <v>0</v>
      </c>
      <c r="P68" s="94"/>
      <c r="Q68" s="23">
        <v>70</v>
      </c>
      <c r="R68" s="23">
        <v>170</v>
      </c>
      <c r="S68" s="34">
        <f t="shared" si="6"/>
        <v>24.221453287197235</v>
      </c>
      <c r="T68" s="25">
        <v>7</v>
      </c>
      <c r="U68" s="23">
        <v>0</v>
      </c>
      <c r="V68" s="23">
        <v>2</v>
      </c>
      <c r="W68" s="38">
        <v>43142.608333333301</v>
      </c>
      <c r="X68" s="38">
        <v>43142.6159722222</v>
      </c>
      <c r="Y68" s="38">
        <v>43142.684027777803</v>
      </c>
      <c r="Z68" s="38">
        <v>43142.688888888901</v>
      </c>
      <c r="AA68" s="39">
        <f t="shared" si="7"/>
        <v>11.000000014901161</v>
      </c>
      <c r="AB68" s="39">
        <f t="shared" si="8"/>
        <v>98.000000067986548</v>
      </c>
      <c r="AC68" s="39">
        <f t="shared" si="9"/>
        <v>109.00000008288771</v>
      </c>
      <c r="AD68" s="41">
        <v>0</v>
      </c>
      <c r="AE68" s="22">
        <v>1</v>
      </c>
      <c r="AF68" s="22">
        <v>1</v>
      </c>
      <c r="AG68" s="14">
        <v>1</v>
      </c>
      <c r="AH68" s="14">
        <v>1</v>
      </c>
      <c r="AI68" s="23">
        <v>0</v>
      </c>
      <c r="AJ68" s="23">
        <v>0</v>
      </c>
      <c r="AK68" s="23">
        <v>0</v>
      </c>
      <c r="AL68" s="23">
        <v>0</v>
      </c>
      <c r="AM68" s="10">
        <v>1</v>
      </c>
      <c r="AN68" s="10">
        <v>1</v>
      </c>
      <c r="AO68" s="10">
        <v>3000</v>
      </c>
      <c r="AP68" s="94">
        <v>0</v>
      </c>
      <c r="AQ68" s="94">
        <v>0</v>
      </c>
      <c r="AR68" s="94">
        <v>0</v>
      </c>
      <c r="AS68" s="94">
        <v>0</v>
      </c>
      <c r="AT68" s="94">
        <v>0</v>
      </c>
      <c r="AU68" s="94">
        <v>0</v>
      </c>
      <c r="AV68" s="94">
        <v>0</v>
      </c>
      <c r="AW68" s="94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1</v>
      </c>
      <c r="BC68" s="10">
        <v>0</v>
      </c>
      <c r="BD68" s="10">
        <v>0</v>
      </c>
      <c r="BE68" s="10">
        <v>0</v>
      </c>
      <c r="BF68" s="10">
        <v>1</v>
      </c>
      <c r="BG68" s="10">
        <v>0</v>
      </c>
      <c r="BH68" s="10">
        <v>0</v>
      </c>
      <c r="BI68" s="10">
        <v>0</v>
      </c>
      <c r="BJ68" s="10">
        <v>145</v>
      </c>
      <c r="BK68" s="12"/>
      <c r="BM68" s="23">
        <v>1</v>
      </c>
      <c r="BN68" s="23">
        <v>0</v>
      </c>
      <c r="BO68" s="23">
        <v>0</v>
      </c>
      <c r="BP68" s="23">
        <v>1</v>
      </c>
      <c r="BQ68" s="23">
        <v>1</v>
      </c>
      <c r="BR68" s="23">
        <v>0</v>
      </c>
      <c r="BS68" s="23">
        <v>0</v>
      </c>
      <c r="BT68" s="96"/>
      <c r="BU68" s="38">
        <v>43142.709027777797</v>
      </c>
      <c r="BV68" s="44"/>
      <c r="BW68" s="38">
        <v>43142.756944444402</v>
      </c>
      <c r="BX68" s="38">
        <v>43142.7993055556</v>
      </c>
      <c r="BY68" s="38">
        <v>43142.7993055556</v>
      </c>
      <c r="BZ68" s="25">
        <v>0</v>
      </c>
      <c r="CA68" s="25">
        <v>0</v>
      </c>
      <c r="CB68" s="23">
        <v>1</v>
      </c>
      <c r="CC68" s="23">
        <v>0</v>
      </c>
      <c r="CD68" s="23">
        <v>1</v>
      </c>
      <c r="CE68" s="23">
        <v>0</v>
      </c>
      <c r="CF68" s="23">
        <v>0</v>
      </c>
      <c r="CG68" s="23"/>
      <c r="CH68" s="105">
        <v>0</v>
      </c>
      <c r="CI68" s="10">
        <v>1</v>
      </c>
      <c r="CJ68" s="10">
        <v>1</v>
      </c>
      <c r="CK68" s="10">
        <v>1</v>
      </c>
      <c r="CL68" s="10">
        <v>1</v>
      </c>
      <c r="CM68" s="10">
        <v>1</v>
      </c>
      <c r="CN68" s="10">
        <v>1</v>
      </c>
      <c r="CO68" s="10">
        <v>0</v>
      </c>
      <c r="CP68" s="10">
        <v>0</v>
      </c>
      <c r="CQ68" s="10">
        <v>0</v>
      </c>
      <c r="CR68" s="10">
        <v>0</v>
      </c>
      <c r="CS68" s="10">
        <v>0</v>
      </c>
      <c r="CT68" s="10">
        <v>0</v>
      </c>
      <c r="CU68" s="10">
        <v>0</v>
      </c>
      <c r="CV68" s="10">
        <v>0</v>
      </c>
      <c r="CW68" s="10">
        <v>0</v>
      </c>
      <c r="CX68" s="25">
        <v>0</v>
      </c>
      <c r="CY68" s="25">
        <v>2</v>
      </c>
      <c r="CZ68" s="25">
        <v>0</v>
      </c>
      <c r="DA68" s="25">
        <v>2</v>
      </c>
      <c r="DB68" s="25">
        <v>0</v>
      </c>
      <c r="DC68" s="105">
        <v>2</v>
      </c>
      <c r="DD68" s="25">
        <v>1</v>
      </c>
      <c r="DE68" s="25"/>
      <c r="DF68" s="25">
        <v>1</v>
      </c>
      <c r="DG68" s="25"/>
      <c r="DH68" s="25">
        <v>2</v>
      </c>
      <c r="DI68" s="25">
        <v>2</v>
      </c>
      <c r="DJ68" s="25">
        <v>0</v>
      </c>
      <c r="DK68" s="25">
        <v>0</v>
      </c>
      <c r="DL68" s="25">
        <v>0</v>
      </c>
      <c r="DM68" s="25">
        <v>0</v>
      </c>
      <c r="DN68" s="25">
        <v>0</v>
      </c>
      <c r="DO68" s="25">
        <v>0</v>
      </c>
      <c r="DP68" s="25">
        <v>0</v>
      </c>
      <c r="DQ68" s="25">
        <v>0</v>
      </c>
      <c r="DR68" s="25">
        <v>1</v>
      </c>
      <c r="DS68" s="25">
        <v>0</v>
      </c>
      <c r="DT68" s="26">
        <v>1</v>
      </c>
      <c r="DU68" s="26">
        <v>1</v>
      </c>
      <c r="DV68" s="26">
        <v>0</v>
      </c>
      <c r="DW68" s="26">
        <v>0</v>
      </c>
      <c r="DX68" s="26"/>
      <c r="DY68" s="10">
        <v>1.31</v>
      </c>
      <c r="DZ68" s="10">
        <v>0.9</v>
      </c>
      <c r="EA68" s="10">
        <v>198</v>
      </c>
      <c r="EB68" s="10">
        <v>595</v>
      </c>
      <c r="ED68" s="10">
        <v>145</v>
      </c>
      <c r="EE68" s="10">
        <v>6.4</v>
      </c>
      <c r="EF68" s="10">
        <v>110</v>
      </c>
      <c r="EG68" s="10">
        <v>584</v>
      </c>
      <c r="EH68" s="10">
        <v>58</v>
      </c>
      <c r="EI68" s="10">
        <v>61</v>
      </c>
      <c r="EJ68" s="10">
        <v>12</v>
      </c>
      <c r="EK68" s="10">
        <v>0.1</v>
      </c>
      <c r="EL68" s="10">
        <v>8.8000000000000007</v>
      </c>
      <c r="EM68" s="10">
        <v>10.199999999999999</v>
      </c>
      <c r="EO68" s="94">
        <v>0</v>
      </c>
      <c r="EQ68" s="94">
        <v>5</v>
      </c>
      <c r="ES68" s="10">
        <v>19</v>
      </c>
      <c r="ET68" s="10">
        <v>1</v>
      </c>
      <c r="EU68" s="10">
        <v>0</v>
      </c>
      <c r="EV68" s="10">
        <v>8.5</v>
      </c>
      <c r="EW68" s="10">
        <v>1</v>
      </c>
      <c r="EX68" s="10">
        <v>800</v>
      </c>
      <c r="EY68" s="10">
        <v>15</v>
      </c>
      <c r="EZ68" s="13"/>
      <c r="FA68" s="10">
        <v>1</v>
      </c>
      <c r="FD68" s="10">
        <v>7.17</v>
      </c>
      <c r="FE68" s="10">
        <v>7.37</v>
      </c>
      <c r="FF68" s="10" t="s">
        <v>298</v>
      </c>
      <c r="FI68" s="10">
        <v>1</v>
      </c>
      <c r="FJ68" s="10">
        <v>1</v>
      </c>
      <c r="FK68" s="10">
        <v>1</v>
      </c>
      <c r="FL68" s="10">
        <v>2</v>
      </c>
      <c r="FM68" s="10">
        <v>0</v>
      </c>
      <c r="FN68" s="10">
        <v>0</v>
      </c>
      <c r="FO68" s="10">
        <v>0</v>
      </c>
      <c r="FP68" s="10">
        <v>0</v>
      </c>
      <c r="FQ68" s="10">
        <v>4</v>
      </c>
      <c r="FR68" s="10">
        <v>2</v>
      </c>
      <c r="FS68" s="10">
        <v>0</v>
      </c>
      <c r="FT68" s="10">
        <v>15</v>
      </c>
      <c r="FU68" s="10">
        <v>0</v>
      </c>
      <c r="FV68" s="10">
        <v>0</v>
      </c>
      <c r="FW68" s="94">
        <v>0</v>
      </c>
      <c r="FX68" s="10">
        <v>0</v>
      </c>
      <c r="FY68" s="10">
        <v>0</v>
      </c>
      <c r="FZ68" s="10">
        <v>0</v>
      </c>
      <c r="GA68" s="10">
        <v>48</v>
      </c>
      <c r="GC68" s="52" t="s">
        <v>511</v>
      </c>
      <c r="GD68" s="10" t="s">
        <v>583</v>
      </c>
    </row>
    <row r="69" spans="1:187" s="10" customFormat="1" ht="15" x14ac:dyDescent="0.2">
      <c r="A69" s="23">
        <v>13263562</v>
      </c>
      <c r="B69" s="22">
        <v>0</v>
      </c>
      <c r="C69" s="29">
        <v>43133</v>
      </c>
      <c r="D69" s="10">
        <v>14</v>
      </c>
      <c r="E69" s="10">
        <v>25</v>
      </c>
      <c r="F69" s="10">
        <v>33</v>
      </c>
      <c r="G69" s="10">
        <f t="shared" si="5"/>
        <v>19</v>
      </c>
      <c r="H69" s="10">
        <v>0</v>
      </c>
      <c r="I69" s="10">
        <v>0</v>
      </c>
      <c r="J69" s="23">
        <v>58</v>
      </c>
      <c r="K69" s="23">
        <v>1</v>
      </c>
      <c r="L69" s="23">
        <v>0</v>
      </c>
      <c r="M69" s="23">
        <v>1</v>
      </c>
      <c r="N69" s="23"/>
      <c r="O69" s="23">
        <v>5</v>
      </c>
      <c r="P69" s="94"/>
      <c r="Q69" s="23">
        <v>85</v>
      </c>
      <c r="R69" s="23">
        <v>180</v>
      </c>
      <c r="S69" s="34">
        <f t="shared" si="6"/>
        <v>26.234567901234566</v>
      </c>
      <c r="T69" s="25">
        <v>0</v>
      </c>
      <c r="U69" s="23">
        <v>0</v>
      </c>
      <c r="V69" s="23">
        <v>2</v>
      </c>
      <c r="W69" s="38">
        <v>43133.083333333299</v>
      </c>
      <c r="X69" s="38">
        <v>43133.095833333296</v>
      </c>
      <c r="Y69" s="38">
        <v>43133.148611111101</v>
      </c>
      <c r="Z69" s="38">
        <v>43133.15625</v>
      </c>
      <c r="AA69" s="39">
        <f t="shared" si="7"/>
        <v>17.999999995809048</v>
      </c>
      <c r="AB69" s="39">
        <f t="shared" si="8"/>
        <v>76.000000038184226</v>
      </c>
      <c r="AC69" s="39">
        <f t="shared" si="9"/>
        <v>94.000000033993274</v>
      </c>
      <c r="AD69" s="41">
        <v>0</v>
      </c>
      <c r="AE69" s="22">
        <v>1</v>
      </c>
      <c r="AF69" s="22">
        <v>2</v>
      </c>
      <c r="AG69" s="14">
        <v>1</v>
      </c>
      <c r="AH69" s="14">
        <v>1</v>
      </c>
      <c r="AI69" s="23">
        <v>0</v>
      </c>
      <c r="AJ69" s="23">
        <v>0</v>
      </c>
      <c r="AK69" s="23">
        <v>0</v>
      </c>
      <c r="AL69" s="23">
        <v>0</v>
      </c>
      <c r="AM69" s="10">
        <v>9</v>
      </c>
      <c r="AN69" s="10">
        <v>0</v>
      </c>
      <c r="AO69" s="10">
        <v>1750</v>
      </c>
      <c r="AP69" s="94">
        <v>0</v>
      </c>
      <c r="AQ69" s="94">
        <v>0</v>
      </c>
      <c r="AR69" s="94">
        <v>0</v>
      </c>
      <c r="AS69" s="94">
        <v>0</v>
      </c>
      <c r="AT69" s="94">
        <v>0</v>
      </c>
      <c r="AU69" s="94">
        <v>0</v>
      </c>
      <c r="AV69" s="94">
        <v>0</v>
      </c>
      <c r="AW69" s="94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0">
        <v>1</v>
      </c>
      <c r="BD69" s="10">
        <v>0</v>
      </c>
      <c r="BE69" s="10">
        <v>0</v>
      </c>
      <c r="BF69" s="10">
        <v>1</v>
      </c>
      <c r="BG69" s="10">
        <v>0</v>
      </c>
      <c r="BH69" s="10">
        <v>0</v>
      </c>
      <c r="BI69" s="10">
        <v>0</v>
      </c>
      <c r="BJ69" s="10">
        <v>130</v>
      </c>
      <c r="BK69" s="12"/>
      <c r="BM69" s="23">
        <v>1</v>
      </c>
      <c r="BN69" s="23">
        <v>0</v>
      </c>
      <c r="BO69" s="23">
        <v>0</v>
      </c>
      <c r="BP69" s="23">
        <v>0</v>
      </c>
      <c r="BQ69" s="23">
        <v>0</v>
      </c>
      <c r="BR69" s="23">
        <v>0</v>
      </c>
      <c r="BS69" s="23">
        <v>0</v>
      </c>
      <c r="BT69" s="96"/>
      <c r="BU69" s="38">
        <v>43133.173611111102</v>
      </c>
      <c r="BV69" s="38">
        <v>43133.000011574099</v>
      </c>
      <c r="BW69" s="38">
        <v>43133.197916666701</v>
      </c>
      <c r="BX69" s="38">
        <v>43133.232638888898</v>
      </c>
      <c r="BY69" s="38">
        <v>43133.232638888898</v>
      </c>
      <c r="BZ69" s="25">
        <v>0</v>
      </c>
      <c r="CA69" s="25">
        <v>1</v>
      </c>
      <c r="CB69" s="23">
        <v>0</v>
      </c>
      <c r="CC69" s="23"/>
      <c r="CD69" s="23">
        <v>1</v>
      </c>
      <c r="CE69" s="23">
        <v>0</v>
      </c>
      <c r="CF69" s="23">
        <v>0</v>
      </c>
      <c r="CG69" s="23"/>
      <c r="CH69" s="105">
        <v>0</v>
      </c>
      <c r="CI69" s="10">
        <v>1</v>
      </c>
      <c r="CJ69" s="10">
        <v>0</v>
      </c>
      <c r="CK69" s="10">
        <v>0</v>
      </c>
      <c r="CL69" s="10">
        <v>1</v>
      </c>
      <c r="CM69" s="10">
        <v>0</v>
      </c>
      <c r="CN69" s="10">
        <v>0</v>
      </c>
      <c r="CO69" s="10">
        <v>0</v>
      </c>
      <c r="CP69" s="10">
        <v>0</v>
      </c>
      <c r="CQ69" s="10">
        <v>0</v>
      </c>
      <c r="CR69" s="10">
        <v>0</v>
      </c>
      <c r="CS69" s="10">
        <v>0</v>
      </c>
      <c r="CT69" s="10">
        <v>0</v>
      </c>
      <c r="CU69" s="10">
        <v>0</v>
      </c>
      <c r="CV69" s="10">
        <v>0</v>
      </c>
      <c r="CW69" s="10">
        <v>0</v>
      </c>
      <c r="CX69" s="25">
        <v>0</v>
      </c>
      <c r="CY69" s="25">
        <v>1</v>
      </c>
      <c r="CZ69" s="25">
        <v>0</v>
      </c>
      <c r="DA69" s="25">
        <v>1</v>
      </c>
      <c r="DB69" s="25">
        <v>1</v>
      </c>
      <c r="DC69" s="25"/>
      <c r="DD69" s="25">
        <v>0</v>
      </c>
      <c r="DE69" s="105">
        <v>5</v>
      </c>
      <c r="DF69" s="25">
        <v>0</v>
      </c>
      <c r="DG69" s="105">
        <v>5</v>
      </c>
      <c r="DH69" s="25">
        <v>0</v>
      </c>
      <c r="DI69" s="25">
        <v>0</v>
      </c>
      <c r="DJ69" s="25">
        <v>0</v>
      </c>
      <c r="DK69" s="25">
        <v>0</v>
      </c>
      <c r="DL69" s="25">
        <v>0</v>
      </c>
      <c r="DM69" s="25">
        <v>0</v>
      </c>
      <c r="DN69" s="25">
        <v>0</v>
      </c>
      <c r="DO69" s="25">
        <v>0</v>
      </c>
      <c r="DP69" s="25">
        <v>0</v>
      </c>
      <c r="DQ69" s="25">
        <v>0</v>
      </c>
      <c r="DR69" s="25">
        <v>1</v>
      </c>
      <c r="DS69" s="25">
        <v>0</v>
      </c>
      <c r="DT69" s="26">
        <v>1</v>
      </c>
      <c r="DU69" s="26">
        <v>1</v>
      </c>
      <c r="DV69" s="26">
        <v>1</v>
      </c>
      <c r="DW69" s="26">
        <v>0</v>
      </c>
      <c r="DX69" s="26"/>
      <c r="DY69" s="10">
        <v>1.44</v>
      </c>
      <c r="DZ69" s="10">
        <v>0.83</v>
      </c>
      <c r="EB69" s="10">
        <v>498</v>
      </c>
      <c r="ED69" s="10">
        <v>143</v>
      </c>
      <c r="EE69" s="10">
        <v>5.6</v>
      </c>
      <c r="EF69" s="10">
        <v>103</v>
      </c>
      <c r="EG69" s="10">
        <v>938</v>
      </c>
      <c r="EH69" s="10">
        <v>120</v>
      </c>
      <c r="EI69" s="10">
        <v>127</v>
      </c>
      <c r="EJ69" s="10">
        <v>23</v>
      </c>
      <c r="EK69" s="10">
        <v>0</v>
      </c>
      <c r="EL69" s="10">
        <v>9.4</v>
      </c>
      <c r="EM69" s="10">
        <v>11.4</v>
      </c>
      <c r="EO69" s="94">
        <v>0</v>
      </c>
      <c r="EP69" s="10">
        <v>120</v>
      </c>
      <c r="EQ69" s="10">
        <v>20</v>
      </c>
      <c r="ES69" s="10">
        <v>18.2</v>
      </c>
      <c r="ET69" s="94"/>
      <c r="EU69" s="10">
        <v>0</v>
      </c>
      <c r="EV69" s="10">
        <v>8</v>
      </c>
      <c r="EW69" s="94"/>
      <c r="EZ69" s="13"/>
      <c r="FD69" s="10">
        <v>6.8</v>
      </c>
      <c r="FE69" s="10">
        <v>7.25</v>
      </c>
      <c r="FF69" s="10" t="s">
        <v>582</v>
      </c>
      <c r="FL69" s="10">
        <v>0</v>
      </c>
      <c r="FM69" s="10">
        <v>0</v>
      </c>
      <c r="FN69" s="10">
        <v>1</v>
      </c>
      <c r="FP69" s="10">
        <v>0</v>
      </c>
      <c r="FQ69" s="10">
        <v>3</v>
      </c>
      <c r="FR69" s="10">
        <v>1</v>
      </c>
      <c r="FS69" s="10">
        <v>0</v>
      </c>
      <c r="FT69" s="10">
        <v>0</v>
      </c>
      <c r="FU69" s="10">
        <v>2</v>
      </c>
      <c r="FV69" s="10">
        <v>0</v>
      </c>
      <c r="FW69" s="94">
        <v>0</v>
      </c>
      <c r="FX69" s="10">
        <v>0</v>
      </c>
      <c r="FY69" s="10">
        <v>1</v>
      </c>
      <c r="FZ69" s="10">
        <v>0</v>
      </c>
      <c r="GA69" s="10">
        <v>59</v>
      </c>
      <c r="GC69" s="52"/>
      <c r="GD69" s="10" t="s">
        <v>579</v>
      </c>
    </row>
    <row r="70" spans="1:187" s="10" customFormat="1" ht="15" x14ac:dyDescent="0.2">
      <c r="A70" s="22">
        <v>13260084</v>
      </c>
      <c r="B70" s="22">
        <v>0</v>
      </c>
      <c r="C70" s="29">
        <v>43121</v>
      </c>
      <c r="H70" s="10">
        <v>0</v>
      </c>
      <c r="I70" s="10">
        <v>0</v>
      </c>
      <c r="J70" s="23">
        <v>50</v>
      </c>
      <c r="K70" s="23">
        <v>0</v>
      </c>
      <c r="L70" s="23">
        <v>0</v>
      </c>
      <c r="M70" s="23">
        <v>1</v>
      </c>
      <c r="N70" s="23"/>
      <c r="O70" s="23">
        <v>5</v>
      </c>
      <c r="P70" s="94"/>
      <c r="Q70" s="23">
        <v>95</v>
      </c>
      <c r="R70" s="23">
        <v>170</v>
      </c>
      <c r="S70" s="34">
        <f t="shared" si="6"/>
        <v>32.871972318339104</v>
      </c>
      <c r="T70" s="25">
        <v>0</v>
      </c>
      <c r="U70" s="23">
        <v>0</v>
      </c>
      <c r="V70" s="23">
        <v>2</v>
      </c>
      <c r="W70" s="38">
        <v>43121.942361111098</v>
      </c>
      <c r="X70" s="38">
        <v>43121.9465277778</v>
      </c>
      <c r="Y70" s="38">
        <v>43122.013888888898</v>
      </c>
      <c r="Z70" s="38">
        <v>43122.020833333299</v>
      </c>
      <c r="AA70" s="39">
        <f t="shared" si="7"/>
        <v>6.000000050989911</v>
      </c>
      <c r="AB70" s="39">
        <f t="shared" si="8"/>
        <v>96.999999980907887</v>
      </c>
      <c r="AC70" s="39">
        <f t="shared" si="9"/>
        <v>103.0000000318978</v>
      </c>
      <c r="AD70" s="41">
        <v>0</v>
      </c>
      <c r="AE70" s="22">
        <v>1</v>
      </c>
      <c r="AF70" s="22">
        <v>2</v>
      </c>
      <c r="AG70" s="14">
        <v>2</v>
      </c>
      <c r="AH70" s="14">
        <v>1</v>
      </c>
      <c r="AI70" s="23">
        <v>0</v>
      </c>
      <c r="AJ70" s="23">
        <v>0</v>
      </c>
      <c r="AK70" s="23">
        <v>0</v>
      </c>
      <c r="AL70" s="23">
        <v>0</v>
      </c>
      <c r="AM70" s="10">
        <v>8</v>
      </c>
      <c r="AO70" s="94">
        <v>750</v>
      </c>
      <c r="AP70" s="94">
        <v>0</v>
      </c>
      <c r="AQ70" s="94">
        <v>0</v>
      </c>
      <c r="AR70" s="94">
        <v>0</v>
      </c>
      <c r="AS70" s="94">
        <v>0</v>
      </c>
      <c r="AT70" s="94">
        <v>0</v>
      </c>
      <c r="AU70" s="94">
        <v>0</v>
      </c>
      <c r="AV70" s="94">
        <v>0</v>
      </c>
      <c r="AW70" s="94">
        <v>0</v>
      </c>
      <c r="AX70" s="10">
        <v>8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1</v>
      </c>
      <c r="BE70" s="10">
        <v>0</v>
      </c>
      <c r="BF70" s="10">
        <v>1</v>
      </c>
      <c r="BG70" s="10">
        <v>1</v>
      </c>
      <c r="BH70" s="10">
        <v>0</v>
      </c>
      <c r="BI70" s="10">
        <v>0</v>
      </c>
      <c r="BJ70" s="10">
        <v>145</v>
      </c>
      <c r="BK70" s="12"/>
      <c r="BM70" s="23">
        <v>1</v>
      </c>
      <c r="BN70" s="23">
        <v>0</v>
      </c>
      <c r="BO70" s="23">
        <v>0</v>
      </c>
      <c r="BP70" s="23">
        <v>0</v>
      </c>
      <c r="BQ70" s="23">
        <v>0</v>
      </c>
      <c r="BR70" s="23">
        <v>0</v>
      </c>
      <c r="BS70" s="23">
        <v>0</v>
      </c>
      <c r="BT70" s="96"/>
      <c r="BU70" s="38">
        <v>43122.043055555601</v>
      </c>
      <c r="BV70" s="38">
        <v>43122.000011574099</v>
      </c>
      <c r="BW70" s="38">
        <v>43122.121527777803</v>
      </c>
      <c r="BX70" s="38">
        <v>43122.166666666701</v>
      </c>
      <c r="BY70" s="38">
        <v>43122.166666666701</v>
      </c>
      <c r="BZ70" s="25">
        <v>1</v>
      </c>
      <c r="CA70" s="25">
        <v>0</v>
      </c>
      <c r="CB70" s="23">
        <v>1</v>
      </c>
      <c r="CC70" s="23">
        <v>0</v>
      </c>
      <c r="CD70" s="23">
        <v>1</v>
      </c>
      <c r="CE70" s="23">
        <v>0</v>
      </c>
      <c r="CF70" s="23">
        <v>0</v>
      </c>
      <c r="CG70" s="23"/>
      <c r="CH70" s="25">
        <v>0</v>
      </c>
      <c r="CI70" s="10">
        <v>1</v>
      </c>
      <c r="CJ70" s="10">
        <v>0</v>
      </c>
      <c r="CK70" s="10">
        <v>0</v>
      </c>
      <c r="CL70" s="10">
        <v>1</v>
      </c>
      <c r="CM70" s="10">
        <v>0</v>
      </c>
      <c r="CN70" s="10">
        <v>0</v>
      </c>
      <c r="CO70" s="10">
        <v>0</v>
      </c>
      <c r="CP70" s="10">
        <v>0</v>
      </c>
      <c r="CQ70" s="10">
        <v>0</v>
      </c>
      <c r="CR70" s="10">
        <v>0</v>
      </c>
      <c r="CS70" s="10">
        <v>0</v>
      </c>
      <c r="CT70" s="10">
        <v>0</v>
      </c>
      <c r="CU70" s="10">
        <v>0</v>
      </c>
      <c r="CV70" s="10">
        <v>0</v>
      </c>
      <c r="CW70" s="10">
        <v>0</v>
      </c>
      <c r="CX70" s="25">
        <v>0</v>
      </c>
      <c r="CY70" s="25">
        <v>5</v>
      </c>
      <c r="CZ70" s="25">
        <v>0</v>
      </c>
      <c r="DA70" s="25">
        <v>5</v>
      </c>
      <c r="DB70" s="25">
        <v>0</v>
      </c>
      <c r="DC70" s="25">
        <v>3</v>
      </c>
      <c r="DD70" s="25">
        <v>0</v>
      </c>
      <c r="DE70" s="105">
        <v>4</v>
      </c>
      <c r="DF70" s="25">
        <v>0</v>
      </c>
      <c r="DG70" s="105">
        <v>4</v>
      </c>
      <c r="DH70" s="25">
        <v>0</v>
      </c>
      <c r="DI70" s="25">
        <v>0</v>
      </c>
      <c r="DJ70" s="25">
        <v>0</v>
      </c>
      <c r="DK70" s="25">
        <v>1</v>
      </c>
      <c r="DL70" s="25">
        <v>0</v>
      </c>
      <c r="DM70" s="25">
        <v>0</v>
      </c>
      <c r="DN70" s="25">
        <v>0</v>
      </c>
      <c r="DO70" s="25">
        <v>0</v>
      </c>
      <c r="DP70" s="25">
        <v>0</v>
      </c>
      <c r="DQ70" s="25">
        <v>0</v>
      </c>
      <c r="DR70" s="25">
        <v>1</v>
      </c>
      <c r="DS70" s="25">
        <v>1</v>
      </c>
      <c r="DT70" s="26">
        <v>1</v>
      </c>
      <c r="DU70" s="26">
        <v>1</v>
      </c>
      <c r="DV70" s="26">
        <v>0</v>
      </c>
      <c r="DW70" s="103"/>
      <c r="DX70" s="26"/>
      <c r="DY70" s="10">
        <v>1.95</v>
      </c>
      <c r="DZ70" s="10">
        <v>1.05</v>
      </c>
      <c r="EB70" s="10">
        <v>408</v>
      </c>
      <c r="ED70" s="10">
        <v>135</v>
      </c>
      <c r="EE70" s="10">
        <v>5.2</v>
      </c>
      <c r="EF70" s="10">
        <v>99</v>
      </c>
      <c r="EG70" s="10">
        <v>1087</v>
      </c>
      <c r="EH70" s="10">
        <v>98</v>
      </c>
      <c r="EI70" s="10">
        <v>121</v>
      </c>
      <c r="EJ70" s="10">
        <v>183</v>
      </c>
      <c r="EK70" s="10">
        <v>0.1</v>
      </c>
      <c r="EL70" s="10">
        <v>9.4</v>
      </c>
      <c r="EM70" s="10">
        <v>13</v>
      </c>
      <c r="EO70" s="94">
        <v>0</v>
      </c>
      <c r="EP70" s="10">
        <v>78</v>
      </c>
      <c r="EQ70" s="10">
        <v>23</v>
      </c>
      <c r="ES70" s="10">
        <v>12.1</v>
      </c>
      <c r="ET70" s="10">
        <v>1</v>
      </c>
      <c r="EU70" s="10">
        <v>0</v>
      </c>
      <c r="EV70" s="10">
        <v>7.5</v>
      </c>
      <c r="EW70" s="94"/>
      <c r="EZ70" s="13"/>
      <c r="FD70" s="10">
        <v>7.35</v>
      </c>
      <c r="FE70" s="10">
        <v>7.48</v>
      </c>
      <c r="FF70" s="10" t="s">
        <v>578</v>
      </c>
      <c r="FI70" s="10">
        <v>1</v>
      </c>
      <c r="FJ70" s="10">
        <v>1</v>
      </c>
      <c r="FK70" s="10">
        <v>1</v>
      </c>
      <c r="FL70" s="10">
        <v>0</v>
      </c>
      <c r="FM70" s="10">
        <v>1</v>
      </c>
      <c r="FN70" s="10">
        <v>0</v>
      </c>
      <c r="FO70" s="10">
        <v>0</v>
      </c>
      <c r="FP70" s="10">
        <v>0</v>
      </c>
      <c r="FQ70" s="10">
        <v>3</v>
      </c>
      <c r="FR70" s="10">
        <v>1</v>
      </c>
      <c r="FS70" s="10">
        <v>0</v>
      </c>
      <c r="FU70" s="10">
        <v>2</v>
      </c>
      <c r="FV70" s="10">
        <v>0</v>
      </c>
      <c r="FW70" s="10">
        <v>0</v>
      </c>
      <c r="FX70" s="10">
        <v>0</v>
      </c>
      <c r="FY70" s="10">
        <v>0</v>
      </c>
      <c r="FZ70" s="10">
        <v>4</v>
      </c>
      <c r="GA70" s="10">
        <v>55</v>
      </c>
      <c r="GC70" s="52" t="s">
        <v>510</v>
      </c>
      <c r="GD70" s="10" t="s">
        <v>580</v>
      </c>
    </row>
    <row r="71" spans="1:187" s="81" customFormat="1" ht="15" x14ac:dyDescent="0.2">
      <c r="A71" s="79">
        <v>2012018</v>
      </c>
      <c r="B71" s="79">
        <v>1</v>
      </c>
      <c r="C71" s="80">
        <v>43101</v>
      </c>
      <c r="D71" s="81">
        <v>25</v>
      </c>
      <c r="E71" s="81">
        <v>17</v>
      </c>
      <c r="F71" s="81">
        <v>5</v>
      </c>
      <c r="G71" s="81">
        <f t="shared" si="5"/>
        <v>-20</v>
      </c>
      <c r="H71" s="81">
        <v>1</v>
      </c>
      <c r="J71" s="81">
        <v>44</v>
      </c>
      <c r="K71" s="81">
        <v>1</v>
      </c>
      <c r="L71" s="81">
        <v>1</v>
      </c>
      <c r="Q71" s="81">
        <v>60</v>
      </c>
      <c r="S71" s="82"/>
      <c r="T71" s="81">
        <v>0</v>
      </c>
      <c r="U71" s="81">
        <v>0</v>
      </c>
      <c r="V71" s="81">
        <v>5</v>
      </c>
      <c r="W71" s="83">
        <v>43101.638888888891</v>
      </c>
      <c r="X71" s="83">
        <v>43101.647222222222</v>
      </c>
      <c r="Y71" s="83">
        <v>43101.701388888891</v>
      </c>
      <c r="Z71" s="83">
        <v>43101.704861111109</v>
      </c>
      <c r="AA71" s="84">
        <f t="shared" si="7"/>
        <v>11.999999997206032</v>
      </c>
      <c r="AB71" s="84">
        <f t="shared" si="8"/>
        <v>78.000000002793968</v>
      </c>
      <c r="AC71" s="84">
        <f t="shared" si="9"/>
        <v>90</v>
      </c>
      <c r="AD71" s="85">
        <v>0</v>
      </c>
      <c r="AE71" s="79">
        <v>1</v>
      </c>
      <c r="AF71" s="79">
        <v>2</v>
      </c>
      <c r="AG71" s="86"/>
      <c r="AH71" s="86">
        <v>1</v>
      </c>
      <c r="AM71" s="81">
        <v>6</v>
      </c>
      <c r="AN71" s="81">
        <v>0</v>
      </c>
      <c r="AX71" s="81">
        <v>0</v>
      </c>
      <c r="AY71" s="81">
        <v>0</v>
      </c>
      <c r="AZ71" s="81">
        <v>0</v>
      </c>
      <c r="BA71" s="81">
        <v>0</v>
      </c>
      <c r="BB71" s="81">
        <v>0</v>
      </c>
      <c r="BC71" s="81">
        <v>1</v>
      </c>
      <c r="BD71" s="81">
        <v>0</v>
      </c>
      <c r="BE71" s="81">
        <v>0</v>
      </c>
      <c r="BF71" s="81">
        <v>1</v>
      </c>
      <c r="BG71" s="81">
        <v>0</v>
      </c>
      <c r="BH71" s="81">
        <v>0</v>
      </c>
      <c r="BI71" s="81">
        <v>0</v>
      </c>
      <c r="BJ71" s="81">
        <v>113</v>
      </c>
      <c r="BK71" s="79"/>
      <c r="BU71" s="87">
        <v>43101.736111111109</v>
      </c>
      <c r="BV71" s="88"/>
      <c r="BW71" s="88"/>
      <c r="BX71" s="88"/>
      <c r="BY71" s="88"/>
      <c r="CI71" s="81">
        <v>1</v>
      </c>
      <c r="CJ71" s="81">
        <v>0</v>
      </c>
      <c r="CK71" s="81">
        <v>0</v>
      </c>
      <c r="CL71" s="81">
        <v>1</v>
      </c>
      <c r="CM71" s="81">
        <v>0</v>
      </c>
      <c r="CN71" s="81">
        <v>0</v>
      </c>
      <c r="CO71" s="81">
        <v>0</v>
      </c>
      <c r="CP71" s="81">
        <v>0</v>
      </c>
      <c r="CQ71" s="81">
        <v>0</v>
      </c>
      <c r="CR71" s="81">
        <v>0</v>
      </c>
      <c r="CS71" s="81">
        <v>0</v>
      </c>
      <c r="CT71" s="81">
        <v>0</v>
      </c>
      <c r="CU71" s="81">
        <v>0</v>
      </c>
      <c r="CV71" s="81">
        <v>0</v>
      </c>
      <c r="CW71" s="81">
        <v>0</v>
      </c>
      <c r="CX71" s="81">
        <v>0</v>
      </c>
      <c r="CY71" s="81">
        <v>0</v>
      </c>
      <c r="CZ71" s="81">
        <v>0</v>
      </c>
      <c r="DA71" s="81">
        <v>0</v>
      </c>
      <c r="DB71" s="81">
        <v>0</v>
      </c>
      <c r="DC71" s="81">
        <v>0</v>
      </c>
      <c r="DD71" s="81">
        <v>0</v>
      </c>
      <c r="DE71" s="81">
        <v>0</v>
      </c>
      <c r="DF71" s="81">
        <v>0</v>
      </c>
      <c r="DG71" s="81">
        <v>0</v>
      </c>
      <c r="DH71" s="81">
        <v>0</v>
      </c>
      <c r="DJ71" s="81">
        <v>0</v>
      </c>
      <c r="DK71" s="81">
        <v>0</v>
      </c>
      <c r="DL71" s="81">
        <v>0</v>
      </c>
      <c r="DM71" s="81">
        <v>0</v>
      </c>
      <c r="DN71" s="81">
        <v>0</v>
      </c>
      <c r="DO71" s="81">
        <v>0</v>
      </c>
      <c r="DP71" s="81">
        <v>0</v>
      </c>
      <c r="DQ71" s="81">
        <v>0</v>
      </c>
      <c r="DR71" s="81">
        <v>1</v>
      </c>
      <c r="DS71" s="81">
        <v>0</v>
      </c>
      <c r="DT71" s="81">
        <v>0</v>
      </c>
      <c r="DU71" s="81">
        <v>0</v>
      </c>
      <c r="DV71" s="81">
        <v>0</v>
      </c>
      <c r="DZ71" s="81">
        <v>0.7</v>
      </c>
      <c r="EA71" s="81">
        <v>149</v>
      </c>
      <c r="ET71" s="81">
        <v>0</v>
      </c>
      <c r="EU71" s="81">
        <v>0</v>
      </c>
      <c r="EV71" s="81">
        <v>7.5</v>
      </c>
      <c r="EX71" s="81">
        <v>800</v>
      </c>
      <c r="EY71" s="81">
        <v>15</v>
      </c>
      <c r="EZ71" s="89"/>
      <c r="FA71" s="81">
        <v>1</v>
      </c>
      <c r="GC71" s="81" t="s">
        <v>653</v>
      </c>
      <c r="GE71" s="81" t="s">
        <v>658</v>
      </c>
    </row>
    <row r="72" spans="1:187" s="81" customFormat="1" ht="15" x14ac:dyDescent="0.2">
      <c r="A72" s="79">
        <v>1012018</v>
      </c>
      <c r="B72" s="79">
        <v>1</v>
      </c>
      <c r="C72" s="80">
        <v>43101</v>
      </c>
      <c r="F72" s="81">
        <v>30</v>
      </c>
      <c r="H72" s="81">
        <v>1</v>
      </c>
      <c r="I72" s="81">
        <v>0</v>
      </c>
      <c r="J72" s="81">
        <v>56</v>
      </c>
      <c r="K72" s="81">
        <v>3</v>
      </c>
      <c r="L72" s="81">
        <v>0</v>
      </c>
      <c r="Q72" s="81">
        <v>95</v>
      </c>
      <c r="R72" s="81">
        <v>175</v>
      </c>
      <c r="S72" s="82">
        <f t="shared" si="6"/>
        <v>31.020408163265305</v>
      </c>
      <c r="T72" s="81">
        <v>0</v>
      </c>
      <c r="U72" s="81">
        <v>0</v>
      </c>
      <c r="V72" s="81">
        <v>3</v>
      </c>
      <c r="W72" s="83">
        <v>43101.996527777781</v>
      </c>
      <c r="X72" s="83">
        <v>43102.010416666664</v>
      </c>
      <c r="Y72" s="83">
        <v>43102.059027777781</v>
      </c>
      <c r="Z72" s="83">
        <v>43102.066666666666</v>
      </c>
      <c r="AA72" s="84">
        <f t="shared" si="7"/>
        <v>19.999999991850927</v>
      </c>
      <c r="AB72" s="84">
        <f t="shared" si="8"/>
        <v>70.000000008149073</v>
      </c>
      <c r="AC72" s="84">
        <f t="shared" si="9"/>
        <v>90</v>
      </c>
      <c r="AD72" s="85">
        <v>0</v>
      </c>
      <c r="AE72" s="79">
        <v>1</v>
      </c>
      <c r="AF72" s="79">
        <v>3</v>
      </c>
      <c r="AG72" s="86"/>
      <c r="AH72" s="86">
        <v>2</v>
      </c>
      <c r="AM72" s="81">
        <v>6</v>
      </c>
      <c r="AN72" s="81">
        <v>0</v>
      </c>
      <c r="AO72" s="81">
        <v>1200</v>
      </c>
      <c r="AX72" s="81">
        <v>0</v>
      </c>
      <c r="AY72" s="81">
        <v>0</v>
      </c>
      <c r="AZ72" s="81">
        <v>0</v>
      </c>
      <c r="BA72" s="81">
        <v>0</v>
      </c>
      <c r="BB72" s="81">
        <v>0</v>
      </c>
      <c r="BC72" s="81">
        <v>0</v>
      </c>
      <c r="BD72" s="81">
        <v>1</v>
      </c>
      <c r="BE72" s="81">
        <v>0</v>
      </c>
      <c r="BF72" s="81">
        <v>1</v>
      </c>
      <c r="BG72" s="81">
        <v>0</v>
      </c>
      <c r="BH72" s="81">
        <v>0</v>
      </c>
      <c r="BI72" s="81">
        <v>0</v>
      </c>
      <c r="BJ72" s="81">
        <v>125</v>
      </c>
      <c r="BK72" s="79"/>
      <c r="BU72" s="87">
        <v>43102.111111111109</v>
      </c>
      <c r="BV72" s="88"/>
      <c r="BW72" s="88"/>
      <c r="BX72" s="88"/>
      <c r="BY72" s="88"/>
      <c r="CX72" s="81">
        <v>0</v>
      </c>
      <c r="CY72" s="81">
        <v>5</v>
      </c>
      <c r="CZ72" s="81">
        <v>0</v>
      </c>
      <c r="DA72" s="81">
        <v>5</v>
      </c>
      <c r="DB72" s="81">
        <v>0</v>
      </c>
      <c r="DC72" s="81">
        <v>5</v>
      </c>
      <c r="DD72" s="81">
        <v>0</v>
      </c>
      <c r="DE72" s="81">
        <v>5</v>
      </c>
      <c r="DF72" s="81">
        <v>0</v>
      </c>
      <c r="DG72" s="81">
        <v>5</v>
      </c>
      <c r="DH72" s="81">
        <v>0</v>
      </c>
      <c r="DJ72" s="81">
        <v>0</v>
      </c>
      <c r="DK72" s="81">
        <v>0</v>
      </c>
      <c r="DL72" s="81">
        <v>0</v>
      </c>
      <c r="DM72" s="81">
        <v>1</v>
      </c>
      <c r="DN72" s="81">
        <v>1</v>
      </c>
      <c r="DO72" s="81">
        <v>0</v>
      </c>
      <c r="DP72" s="81">
        <v>0</v>
      </c>
      <c r="DQ72" s="81">
        <v>0</v>
      </c>
      <c r="DR72" s="81">
        <v>1</v>
      </c>
      <c r="DS72" s="81">
        <v>0</v>
      </c>
      <c r="DT72" s="81">
        <v>0</v>
      </c>
      <c r="DU72" s="81">
        <v>0</v>
      </c>
      <c r="DV72" s="81">
        <v>0</v>
      </c>
      <c r="DZ72" s="81">
        <v>0.7</v>
      </c>
      <c r="EB72" s="81">
        <v>518</v>
      </c>
      <c r="ED72" s="81">
        <v>141</v>
      </c>
      <c r="EE72" s="81">
        <v>6.4</v>
      </c>
      <c r="EF72" s="81">
        <v>102</v>
      </c>
      <c r="EG72" s="81">
        <v>987</v>
      </c>
      <c r="EO72" s="81" t="s">
        <v>655</v>
      </c>
      <c r="EP72" s="81">
        <v>73</v>
      </c>
      <c r="EQ72" s="81">
        <v>34</v>
      </c>
      <c r="ES72" s="81">
        <v>18.100000000000001</v>
      </c>
      <c r="ET72" s="81">
        <v>1</v>
      </c>
      <c r="EU72" s="81">
        <v>0</v>
      </c>
      <c r="EV72" s="81">
        <v>8</v>
      </c>
      <c r="EZ72" s="89"/>
      <c r="FA72" s="81">
        <v>1</v>
      </c>
      <c r="GC72" s="81" t="s">
        <v>654</v>
      </c>
      <c r="GD72" s="81" t="s">
        <v>656</v>
      </c>
      <c r="GE72" s="81" t="s">
        <v>659</v>
      </c>
    </row>
    <row r="73" spans="1:187" s="81" customFormat="1" ht="15" x14ac:dyDescent="0.2">
      <c r="A73" s="79">
        <v>2012019</v>
      </c>
      <c r="B73" s="79">
        <v>1</v>
      </c>
      <c r="C73" s="80">
        <v>43466</v>
      </c>
      <c r="D73" s="81">
        <v>9</v>
      </c>
      <c r="E73" s="81">
        <v>48</v>
      </c>
      <c r="F73" s="81">
        <v>84</v>
      </c>
      <c r="G73" s="81">
        <f t="shared" si="5"/>
        <v>75</v>
      </c>
      <c r="H73" s="81">
        <v>1</v>
      </c>
      <c r="I73" s="81">
        <v>0</v>
      </c>
      <c r="J73" s="81">
        <v>51</v>
      </c>
      <c r="K73" s="81">
        <v>3</v>
      </c>
      <c r="L73" s="81">
        <v>0</v>
      </c>
      <c r="Q73" s="81">
        <v>103</v>
      </c>
      <c r="R73" s="81">
        <v>175</v>
      </c>
      <c r="S73" s="82">
        <f t="shared" si="6"/>
        <v>33.632653061224488</v>
      </c>
      <c r="T73" s="81">
        <v>0</v>
      </c>
      <c r="U73" s="81">
        <v>0</v>
      </c>
      <c r="V73" s="81">
        <v>3</v>
      </c>
      <c r="W73" s="83">
        <v>43466.546527777777</v>
      </c>
      <c r="X73" s="83">
        <v>43466.556250000001</v>
      </c>
      <c r="Y73" s="83">
        <v>43466.609027777777</v>
      </c>
      <c r="Z73" s="83">
        <v>43466.614583333336</v>
      </c>
      <c r="AA73" s="84">
        <f t="shared" si="7"/>
        <v>14.00000000372529</v>
      </c>
      <c r="AB73" s="84">
        <f t="shared" si="8"/>
        <v>75.99999999627471</v>
      </c>
      <c r="AC73" s="84">
        <f t="shared" si="9"/>
        <v>90</v>
      </c>
      <c r="AD73" s="85">
        <v>0</v>
      </c>
      <c r="AE73" s="79">
        <v>0</v>
      </c>
      <c r="AF73" s="79"/>
      <c r="AG73" s="86"/>
      <c r="AH73" s="86">
        <v>1</v>
      </c>
      <c r="AM73" s="81">
        <v>13</v>
      </c>
      <c r="AN73" s="81">
        <v>0</v>
      </c>
      <c r="AO73" s="81">
        <v>0</v>
      </c>
      <c r="AX73" s="81">
        <v>0</v>
      </c>
      <c r="AY73" s="81">
        <v>0</v>
      </c>
      <c r="AZ73" s="81">
        <v>0</v>
      </c>
      <c r="BA73" s="81">
        <v>0</v>
      </c>
      <c r="BB73" s="81">
        <v>0</v>
      </c>
      <c r="BC73" s="81">
        <v>1</v>
      </c>
      <c r="BD73" s="81">
        <v>1</v>
      </c>
      <c r="BE73" s="81">
        <v>1</v>
      </c>
      <c r="BF73" s="81">
        <v>1</v>
      </c>
      <c r="BG73" s="81">
        <v>0</v>
      </c>
      <c r="BH73" s="81">
        <v>0</v>
      </c>
      <c r="BI73" s="81">
        <v>0</v>
      </c>
      <c r="BJ73" s="81">
        <v>116</v>
      </c>
      <c r="BK73" s="79"/>
      <c r="BU73" s="87">
        <v>43466.636111111111</v>
      </c>
      <c r="BV73" s="88"/>
      <c r="BW73" s="88"/>
      <c r="BX73" s="88"/>
      <c r="BY73" s="88"/>
      <c r="CX73" s="81">
        <v>0</v>
      </c>
      <c r="CY73" s="81">
        <v>5</v>
      </c>
      <c r="CZ73" s="81">
        <v>0</v>
      </c>
      <c r="DA73" s="81">
        <v>5</v>
      </c>
      <c r="DB73" s="81">
        <v>0</v>
      </c>
      <c r="DC73" s="81">
        <v>5</v>
      </c>
      <c r="DD73" s="81">
        <v>0</v>
      </c>
      <c r="DE73" s="81">
        <v>5</v>
      </c>
      <c r="DF73" s="81">
        <v>0</v>
      </c>
      <c r="DG73" s="81">
        <v>5</v>
      </c>
      <c r="DH73" s="81">
        <v>0</v>
      </c>
      <c r="DJ73" s="81">
        <v>0</v>
      </c>
      <c r="DK73" s="81">
        <v>0</v>
      </c>
      <c r="DL73" s="81">
        <v>0</v>
      </c>
      <c r="DM73" s="81">
        <v>0</v>
      </c>
      <c r="DN73" s="81">
        <v>0</v>
      </c>
      <c r="DO73" s="81">
        <v>0</v>
      </c>
      <c r="DP73" s="81">
        <v>0</v>
      </c>
      <c r="DQ73" s="81">
        <v>0</v>
      </c>
      <c r="DR73" s="81">
        <v>1</v>
      </c>
      <c r="DS73" s="81">
        <v>0</v>
      </c>
      <c r="DT73" s="81">
        <v>0</v>
      </c>
      <c r="DU73" s="81">
        <v>0</v>
      </c>
      <c r="DV73" s="81">
        <v>0</v>
      </c>
      <c r="DZ73" s="81">
        <v>0.52</v>
      </c>
      <c r="EA73" s="81">
        <v>138</v>
      </c>
      <c r="ET73" s="81">
        <v>1</v>
      </c>
      <c r="EU73" s="81">
        <v>0</v>
      </c>
      <c r="EV73" s="81">
        <v>8</v>
      </c>
      <c r="EY73" s="81">
        <v>10</v>
      </c>
      <c r="EZ73" s="89"/>
      <c r="FM73" s="81">
        <v>0</v>
      </c>
      <c r="FN73" s="81">
        <v>0</v>
      </c>
      <c r="FO73" s="81">
        <v>0</v>
      </c>
      <c r="FP73" s="81">
        <v>0</v>
      </c>
      <c r="FQ73" s="81">
        <v>10</v>
      </c>
      <c r="FR73" s="81">
        <v>20</v>
      </c>
      <c r="FS73" s="81">
        <v>0</v>
      </c>
      <c r="FU73" s="81">
        <v>0</v>
      </c>
      <c r="FV73" s="81">
        <v>4</v>
      </c>
      <c r="FX73" s="81">
        <v>0</v>
      </c>
      <c r="FY73" s="81">
        <v>1</v>
      </c>
      <c r="FZ73" s="81">
        <v>1</v>
      </c>
      <c r="GC73" s="81" t="s">
        <v>660</v>
      </c>
      <c r="GE73" s="81" t="s">
        <v>657</v>
      </c>
    </row>
    <row r="74" spans="1:187" s="81" customFormat="1" ht="15" x14ac:dyDescent="0.2">
      <c r="A74" s="79">
        <v>1012019</v>
      </c>
      <c r="B74" s="79">
        <v>1</v>
      </c>
      <c r="C74" s="80">
        <v>43466</v>
      </c>
      <c r="D74" s="81">
        <v>11</v>
      </c>
      <c r="E74" s="81">
        <v>25</v>
      </c>
      <c r="F74" s="81">
        <v>30</v>
      </c>
      <c r="G74" s="81">
        <f t="shared" si="5"/>
        <v>19</v>
      </c>
      <c r="H74" s="81">
        <v>1</v>
      </c>
      <c r="I74" s="81">
        <v>0</v>
      </c>
      <c r="J74" s="81">
        <v>45</v>
      </c>
      <c r="K74" s="81">
        <v>0</v>
      </c>
      <c r="L74" s="81">
        <v>0</v>
      </c>
      <c r="Q74" s="81">
        <v>85</v>
      </c>
      <c r="R74" s="81">
        <v>165</v>
      </c>
      <c r="S74" s="82">
        <f t="shared" si="6"/>
        <v>31.221303948576679</v>
      </c>
      <c r="T74" s="81">
        <v>0</v>
      </c>
      <c r="U74" s="81">
        <v>0</v>
      </c>
      <c r="V74" s="81">
        <v>3</v>
      </c>
      <c r="W74" s="83">
        <v>43466.39166666667</v>
      </c>
      <c r="X74" s="83">
        <v>43466.397916666669</v>
      </c>
      <c r="Y74" s="83">
        <v>43466.451388888891</v>
      </c>
      <c r="Z74" s="83">
        <v>43466.451388888891</v>
      </c>
      <c r="AA74" s="84">
        <f t="shared" si="7"/>
        <v>8.9999999979045242</v>
      </c>
      <c r="AB74" s="84">
        <f t="shared" si="8"/>
        <v>76.999999999534339</v>
      </c>
      <c r="AC74" s="84">
        <f t="shared" si="9"/>
        <v>85.999999997438863</v>
      </c>
      <c r="AD74" s="85">
        <v>0</v>
      </c>
      <c r="AE74" s="79">
        <v>1</v>
      </c>
      <c r="AF74" s="79">
        <v>1</v>
      </c>
      <c r="AG74" s="86"/>
      <c r="AH74" s="86">
        <v>1</v>
      </c>
      <c r="AM74" s="81">
        <v>7</v>
      </c>
      <c r="AO74" s="81">
        <v>500</v>
      </c>
      <c r="AX74" s="81">
        <v>4</v>
      </c>
      <c r="AY74" s="81">
        <v>0</v>
      </c>
      <c r="AZ74" s="81">
        <v>0</v>
      </c>
      <c r="BA74" s="81">
        <v>0</v>
      </c>
      <c r="BB74" s="81">
        <v>3</v>
      </c>
      <c r="BC74" s="81">
        <v>1</v>
      </c>
      <c r="BD74" s="81">
        <v>0</v>
      </c>
      <c r="BE74" s="81">
        <v>0</v>
      </c>
      <c r="BF74" s="81">
        <v>1</v>
      </c>
      <c r="BG74" s="81">
        <v>0</v>
      </c>
      <c r="BH74" s="81">
        <v>0</v>
      </c>
      <c r="BI74" s="81">
        <v>0</v>
      </c>
      <c r="BJ74" s="81">
        <v>114</v>
      </c>
      <c r="BK74" s="79"/>
      <c r="BU74" s="87">
        <v>43466.479166666664</v>
      </c>
      <c r="BV74" s="88"/>
      <c r="BW74" s="88"/>
      <c r="BX74" s="88"/>
      <c r="BY74" s="88"/>
      <c r="CX74" s="81">
        <v>0</v>
      </c>
      <c r="CY74" s="81">
        <v>5</v>
      </c>
      <c r="CZ74" s="81">
        <v>0</v>
      </c>
      <c r="DA74" s="81">
        <v>5</v>
      </c>
      <c r="DB74" s="81">
        <v>0</v>
      </c>
      <c r="DC74" s="81">
        <v>5</v>
      </c>
      <c r="DD74" s="81">
        <v>0</v>
      </c>
      <c r="DE74" s="81">
        <v>5</v>
      </c>
      <c r="DF74" s="81">
        <v>0</v>
      </c>
      <c r="DG74" s="81">
        <v>5</v>
      </c>
      <c r="DH74" s="81">
        <v>0</v>
      </c>
      <c r="DJ74" s="81">
        <v>0</v>
      </c>
      <c r="DZ74" s="81">
        <v>0.9</v>
      </c>
      <c r="EA74" s="81">
        <v>156</v>
      </c>
      <c r="ET74" s="81">
        <v>1</v>
      </c>
      <c r="EU74" s="81">
        <v>0</v>
      </c>
      <c r="EX74" s="81">
        <v>500</v>
      </c>
      <c r="EY74" s="81">
        <v>15</v>
      </c>
      <c r="EZ74" s="89"/>
      <c r="FM74" s="81">
        <v>0</v>
      </c>
      <c r="FN74" s="81">
        <v>0</v>
      </c>
      <c r="FO74" s="81">
        <v>0</v>
      </c>
      <c r="FP74" s="81">
        <v>0</v>
      </c>
      <c r="FQ74" s="81">
        <v>3</v>
      </c>
      <c r="FR74" s="81">
        <v>3</v>
      </c>
      <c r="FS74" s="81">
        <v>0</v>
      </c>
      <c r="FU74" s="81">
        <v>0</v>
      </c>
      <c r="FV74" s="81">
        <v>5</v>
      </c>
      <c r="FW74" s="81">
        <v>1</v>
      </c>
      <c r="FZ74" s="81">
        <v>1</v>
      </c>
      <c r="GC74" s="81" t="s">
        <v>662</v>
      </c>
      <c r="GE74" s="81" t="s">
        <v>661</v>
      </c>
    </row>
    <row r="75" spans="1:187" s="81" customFormat="1" ht="15" x14ac:dyDescent="0.2">
      <c r="A75" s="79">
        <v>1012020</v>
      </c>
      <c r="B75" s="79">
        <v>1</v>
      </c>
      <c r="C75" s="80">
        <v>43831</v>
      </c>
      <c r="D75" s="81">
        <v>20</v>
      </c>
      <c r="E75" s="81">
        <v>31</v>
      </c>
      <c r="F75" s="81">
        <v>30</v>
      </c>
      <c r="G75" s="81">
        <f t="shared" si="5"/>
        <v>10</v>
      </c>
      <c r="H75" s="81">
        <v>1</v>
      </c>
      <c r="I75" s="81">
        <v>0</v>
      </c>
      <c r="J75" s="81">
        <v>45</v>
      </c>
      <c r="K75" s="81">
        <v>1</v>
      </c>
      <c r="L75" s="81">
        <v>1</v>
      </c>
      <c r="Q75" s="81">
        <v>95</v>
      </c>
      <c r="R75" s="81">
        <v>165</v>
      </c>
      <c r="S75" s="82">
        <f t="shared" si="6"/>
        <v>34.894398530762174</v>
      </c>
      <c r="T75" s="81">
        <v>0</v>
      </c>
      <c r="U75" s="81">
        <v>0</v>
      </c>
      <c r="V75" s="81">
        <v>5</v>
      </c>
      <c r="W75" s="83">
        <v>43831.024305555555</v>
      </c>
      <c r="X75" s="83">
        <v>43831.03125</v>
      </c>
      <c r="Y75" s="83">
        <v>43831.065972222219</v>
      </c>
      <c r="Z75" s="83">
        <v>43831.076388888891</v>
      </c>
      <c r="AA75" s="84">
        <f t="shared" si="7"/>
        <v>10.000000001164153</v>
      </c>
      <c r="AB75" s="84">
        <f t="shared" si="8"/>
        <v>49.999999995343387</v>
      </c>
      <c r="AC75" s="84">
        <f t="shared" si="9"/>
        <v>59.99999999650754</v>
      </c>
      <c r="AD75" s="85">
        <v>0</v>
      </c>
      <c r="AE75" s="79">
        <v>1</v>
      </c>
      <c r="AF75" s="79"/>
      <c r="AG75" s="86"/>
      <c r="AH75" s="86">
        <v>1</v>
      </c>
      <c r="AM75" s="81">
        <v>8</v>
      </c>
      <c r="AN75" s="81">
        <v>0</v>
      </c>
      <c r="AO75" s="81">
        <v>500</v>
      </c>
      <c r="AX75" s="81">
        <v>0</v>
      </c>
      <c r="AY75" s="81">
        <v>0</v>
      </c>
      <c r="AZ75" s="81">
        <v>0</v>
      </c>
      <c r="BA75" s="81">
        <v>0</v>
      </c>
      <c r="BB75" s="81">
        <v>0</v>
      </c>
      <c r="BC75" s="81">
        <v>0</v>
      </c>
      <c r="BD75" s="81">
        <v>0</v>
      </c>
      <c r="BE75" s="81">
        <v>0</v>
      </c>
      <c r="BF75" s="81">
        <v>0</v>
      </c>
      <c r="BG75" s="81">
        <v>0</v>
      </c>
      <c r="BH75" s="81">
        <v>0</v>
      </c>
      <c r="BI75" s="81">
        <v>0</v>
      </c>
      <c r="BJ75" s="81">
        <v>120</v>
      </c>
      <c r="BK75" s="79"/>
      <c r="BU75" s="87">
        <v>43831.111111111109</v>
      </c>
      <c r="BV75" s="88"/>
      <c r="BW75" s="88"/>
      <c r="BX75" s="88"/>
      <c r="BY75" s="88"/>
      <c r="CX75" s="81">
        <v>0</v>
      </c>
      <c r="CY75" s="81">
        <v>5</v>
      </c>
      <c r="CZ75" s="81">
        <v>0</v>
      </c>
      <c r="DA75" s="81">
        <v>5</v>
      </c>
      <c r="DB75" s="81">
        <v>0</v>
      </c>
      <c r="DC75" s="81">
        <v>5</v>
      </c>
      <c r="DD75" s="81">
        <v>0</v>
      </c>
      <c r="DE75" s="81">
        <v>5</v>
      </c>
      <c r="DF75" s="81">
        <v>0</v>
      </c>
      <c r="DG75" s="81">
        <v>5</v>
      </c>
      <c r="DH75" s="81">
        <v>0</v>
      </c>
      <c r="DJ75" s="81">
        <v>0</v>
      </c>
      <c r="DK75" s="81">
        <v>0</v>
      </c>
      <c r="DL75" s="81">
        <v>0</v>
      </c>
      <c r="DM75" s="81">
        <v>0</v>
      </c>
      <c r="DN75" s="81">
        <v>0</v>
      </c>
      <c r="DO75" s="81">
        <v>0</v>
      </c>
      <c r="DP75" s="81">
        <v>0</v>
      </c>
      <c r="DQ75" s="81">
        <v>0</v>
      </c>
      <c r="DR75" s="81">
        <v>1</v>
      </c>
      <c r="DS75" s="81">
        <v>0</v>
      </c>
      <c r="DT75" s="81">
        <v>0</v>
      </c>
      <c r="DU75" s="81">
        <v>0</v>
      </c>
      <c r="DV75" s="81">
        <v>0</v>
      </c>
      <c r="DZ75" s="81">
        <v>0.8</v>
      </c>
      <c r="EB75" s="81">
        <v>319</v>
      </c>
      <c r="ED75" s="81">
        <v>130</v>
      </c>
      <c r="EE75" s="81">
        <v>5.7</v>
      </c>
      <c r="EF75" s="81">
        <v>96</v>
      </c>
      <c r="EG75" s="81">
        <v>760</v>
      </c>
      <c r="EO75" s="81" t="s">
        <v>587</v>
      </c>
      <c r="EP75" s="81">
        <v>85</v>
      </c>
      <c r="EQ75" s="81">
        <v>26</v>
      </c>
      <c r="ES75" s="81">
        <v>14.7</v>
      </c>
      <c r="EY75" s="81">
        <v>13</v>
      </c>
      <c r="EZ75" s="89"/>
      <c r="FM75" s="81">
        <v>0</v>
      </c>
      <c r="FN75" s="81">
        <v>0</v>
      </c>
      <c r="FO75" s="81">
        <v>0</v>
      </c>
      <c r="FP75" s="81">
        <v>0</v>
      </c>
      <c r="FQ75" s="81">
        <v>6</v>
      </c>
      <c r="FR75" s="81">
        <v>1</v>
      </c>
      <c r="FS75" s="81">
        <v>3</v>
      </c>
      <c r="FU75" s="81">
        <v>0</v>
      </c>
      <c r="FV75" s="81">
        <v>5</v>
      </c>
      <c r="FW75" s="81">
        <v>1</v>
      </c>
      <c r="FZ75" s="81">
        <v>0</v>
      </c>
      <c r="GA75" s="81">
        <v>45</v>
      </c>
      <c r="GC75" s="81" t="s">
        <v>663</v>
      </c>
      <c r="GE75" s="81" t="s">
        <v>664</v>
      </c>
    </row>
  </sheetData>
  <autoFilter ref="A1:GE75" xr:uid="{00000000-0001-0000-0000-000000000000}"/>
  <conditionalFormatting sqref="A76:B1048576 A2:A75">
    <cfRule type="duplicateValues" dxfId="0" priority="1"/>
  </conditionalFormatting>
  <pageMargins left="0.75" right="0.75" top="1" bottom="1" header="0.5" footer="0.5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G807"/>
  <sheetViews>
    <sheetView topLeftCell="A154" workbookViewId="0">
      <selection activeCell="A279" sqref="A279"/>
    </sheetView>
  </sheetViews>
  <sheetFormatPr baseColWidth="10" defaultRowHeight="16" x14ac:dyDescent="0.2"/>
  <sheetData>
    <row r="4" spans="1:1" x14ac:dyDescent="0.2">
      <c r="A4" t="s">
        <v>102</v>
      </c>
    </row>
    <row r="6" spans="1:1" x14ac:dyDescent="0.2">
      <c r="A6" t="s">
        <v>103</v>
      </c>
    </row>
    <row r="7" spans="1:1" x14ac:dyDescent="0.2">
      <c r="A7" t="s">
        <v>104</v>
      </c>
    </row>
    <row r="9" spans="1:1" x14ac:dyDescent="0.2">
      <c r="A9" t="s">
        <v>102</v>
      </c>
    </row>
    <row r="11" spans="1:1" x14ac:dyDescent="0.2">
      <c r="A11" t="s">
        <v>746</v>
      </c>
    </row>
    <row r="12" spans="1:1" x14ac:dyDescent="0.2">
      <c r="A12" t="s">
        <v>747</v>
      </c>
    </row>
    <row r="14" spans="1:1" x14ac:dyDescent="0.2">
      <c r="A14" t="s">
        <v>748</v>
      </c>
    </row>
    <row r="16" spans="1:1" x14ac:dyDescent="0.2">
      <c r="A16" t="s">
        <v>169</v>
      </c>
    </row>
    <row r="17" spans="1:1" x14ac:dyDescent="0.2">
      <c r="A17" t="s">
        <v>170</v>
      </c>
    </row>
    <row r="21" spans="1:1" x14ac:dyDescent="0.2">
      <c r="A21" t="s">
        <v>105</v>
      </c>
    </row>
    <row r="23" spans="1:1" x14ac:dyDescent="0.2">
      <c r="A23" t="s">
        <v>106</v>
      </c>
    </row>
    <row r="24" spans="1:1" x14ac:dyDescent="0.2">
      <c r="A24" t="s">
        <v>107</v>
      </c>
    </row>
    <row r="25" spans="1:1" x14ac:dyDescent="0.2">
      <c r="A25" t="s">
        <v>108</v>
      </c>
    </row>
    <row r="26" spans="1:1" x14ac:dyDescent="0.2">
      <c r="A26" t="s">
        <v>109</v>
      </c>
    </row>
    <row r="28" spans="1:1" x14ac:dyDescent="0.2">
      <c r="A28" t="s">
        <v>1</v>
      </c>
    </row>
    <row r="30" spans="1:1" x14ac:dyDescent="0.2">
      <c r="A30" t="s">
        <v>110</v>
      </c>
    </row>
    <row r="31" spans="1:1" x14ac:dyDescent="0.2">
      <c r="A31" t="s">
        <v>111</v>
      </c>
    </row>
    <row r="33" spans="1:1" x14ac:dyDescent="0.2">
      <c r="A33" t="s">
        <v>112</v>
      </c>
    </row>
    <row r="35" spans="1:1" x14ac:dyDescent="0.2">
      <c r="A35" t="s">
        <v>113</v>
      </c>
    </row>
    <row r="36" spans="1:1" x14ac:dyDescent="0.2">
      <c r="A36" t="s">
        <v>114</v>
      </c>
    </row>
    <row r="38" spans="1:1" x14ac:dyDescent="0.2">
      <c r="A38" t="s">
        <v>123</v>
      </c>
    </row>
    <row r="40" spans="1:1" x14ac:dyDescent="0.2">
      <c r="A40" t="s">
        <v>115</v>
      </c>
    </row>
    <row r="42" spans="1:1" x14ac:dyDescent="0.2">
      <c r="A42" t="s">
        <v>116</v>
      </c>
    </row>
    <row r="44" spans="1:1" x14ac:dyDescent="0.2">
      <c r="A44" t="s">
        <v>117</v>
      </c>
    </row>
    <row r="45" spans="1:1" x14ac:dyDescent="0.2">
      <c r="A45" t="s">
        <v>118</v>
      </c>
    </row>
    <row r="46" spans="1:1" x14ac:dyDescent="0.2">
      <c r="A46" t="s">
        <v>119</v>
      </c>
    </row>
    <row r="47" spans="1:1" x14ac:dyDescent="0.2">
      <c r="A47" t="s">
        <v>12</v>
      </c>
    </row>
    <row r="48" spans="1:1" x14ac:dyDescent="0.2">
      <c r="A48" t="s">
        <v>120</v>
      </c>
    </row>
    <row r="49" spans="1:1" x14ac:dyDescent="0.2">
      <c r="A49" t="s">
        <v>121</v>
      </c>
    </row>
    <row r="50" spans="1:1" x14ac:dyDescent="0.2">
      <c r="A50" t="s">
        <v>16</v>
      </c>
    </row>
    <row r="52" spans="1:1" x14ac:dyDescent="0.2">
      <c r="A52" t="s">
        <v>122</v>
      </c>
    </row>
    <row r="53" spans="1:1" x14ac:dyDescent="0.2">
      <c r="A53" t="s">
        <v>14</v>
      </c>
    </row>
    <row r="54" spans="1:1" x14ac:dyDescent="0.2">
      <c r="A54" t="s">
        <v>15</v>
      </c>
    </row>
    <row r="56" spans="1:1" x14ac:dyDescent="0.2">
      <c r="A56" t="s">
        <v>13</v>
      </c>
    </row>
    <row r="58" spans="1:1" x14ac:dyDescent="0.2">
      <c r="A58" t="s">
        <v>117</v>
      </c>
    </row>
    <row r="59" spans="1:1" x14ac:dyDescent="0.2">
      <c r="A59" t="s">
        <v>118</v>
      </c>
    </row>
    <row r="60" spans="1:1" x14ac:dyDescent="0.2">
      <c r="A60" t="s">
        <v>119</v>
      </c>
    </row>
    <row r="61" spans="1:1" x14ac:dyDescent="0.2">
      <c r="A61" t="s">
        <v>12</v>
      </c>
    </row>
    <row r="62" spans="1:1" x14ac:dyDescent="0.2">
      <c r="A62" t="s">
        <v>120</v>
      </c>
    </row>
    <row r="63" spans="1:1" x14ac:dyDescent="0.2">
      <c r="A63" t="s">
        <v>121</v>
      </c>
    </row>
    <row r="64" spans="1:1" x14ac:dyDescent="0.2">
      <c r="A64" t="s">
        <v>17</v>
      </c>
    </row>
    <row r="66" spans="1:1" x14ac:dyDescent="0.2">
      <c r="A66" t="s">
        <v>468</v>
      </c>
    </row>
    <row r="68" spans="1:1" x14ac:dyDescent="0.2">
      <c r="A68" t="s">
        <v>169</v>
      </c>
    </row>
    <row r="69" spans="1:1" x14ac:dyDescent="0.2">
      <c r="A69" t="s">
        <v>170</v>
      </c>
    </row>
    <row r="70" spans="1:1" x14ac:dyDescent="0.2">
      <c r="A70" t="s">
        <v>749</v>
      </c>
    </row>
    <row r="72" spans="1:1" x14ac:dyDescent="0.2">
      <c r="A72" t="s">
        <v>674</v>
      </c>
    </row>
    <row r="74" spans="1:1" x14ac:dyDescent="0.2">
      <c r="A74" t="s">
        <v>750</v>
      </c>
    </row>
    <row r="75" spans="1:1" x14ac:dyDescent="0.2">
      <c r="A75" t="s">
        <v>751</v>
      </c>
    </row>
    <row r="76" spans="1:1" x14ac:dyDescent="0.2">
      <c r="A76" t="s">
        <v>752</v>
      </c>
    </row>
    <row r="77" spans="1:1" x14ac:dyDescent="0.2">
      <c r="A77" t="s">
        <v>753</v>
      </c>
    </row>
    <row r="78" spans="1:1" x14ac:dyDescent="0.2">
      <c r="A78" t="s">
        <v>754</v>
      </c>
    </row>
    <row r="79" spans="1:1" x14ac:dyDescent="0.2">
      <c r="A79" t="s">
        <v>755</v>
      </c>
    </row>
    <row r="80" spans="1:1" x14ac:dyDescent="0.2">
      <c r="A80" t="s">
        <v>756</v>
      </c>
    </row>
    <row r="85" spans="1:1" x14ac:dyDescent="0.2">
      <c r="A85" t="s">
        <v>124</v>
      </c>
    </row>
    <row r="87" spans="1:1" x14ac:dyDescent="0.2">
      <c r="A87" t="s">
        <v>18</v>
      </c>
    </row>
    <row r="88" spans="1:1" x14ac:dyDescent="0.2">
      <c r="A88" t="s">
        <v>19</v>
      </c>
    </row>
    <row r="89" spans="1:1" x14ac:dyDescent="0.2">
      <c r="A89" t="s">
        <v>20</v>
      </c>
    </row>
    <row r="91" spans="1:1" x14ac:dyDescent="0.2">
      <c r="A91" t="s">
        <v>23</v>
      </c>
    </row>
    <row r="93" spans="1:1" x14ac:dyDescent="0.2">
      <c r="A93" t="s">
        <v>21</v>
      </c>
    </row>
    <row r="94" spans="1:1" x14ac:dyDescent="0.2">
      <c r="A94" t="s">
        <v>22</v>
      </c>
    </row>
    <row r="96" spans="1:1" x14ac:dyDescent="0.2">
      <c r="A96" t="s">
        <v>24</v>
      </c>
    </row>
    <row r="98" spans="1:1" x14ac:dyDescent="0.2">
      <c r="A98" t="s">
        <v>25</v>
      </c>
    </row>
    <row r="99" spans="1:1" x14ac:dyDescent="0.2">
      <c r="A99" t="s">
        <v>26</v>
      </c>
    </row>
    <row r="100" spans="1:1" x14ac:dyDescent="0.2">
      <c r="A100" t="s">
        <v>228</v>
      </c>
    </row>
    <row r="102" spans="1:1" x14ac:dyDescent="0.2">
      <c r="A102" t="s">
        <v>27</v>
      </c>
    </row>
    <row r="104" spans="1:1" x14ac:dyDescent="0.2">
      <c r="A104" t="s">
        <v>28</v>
      </c>
    </row>
    <row r="105" spans="1:1" x14ac:dyDescent="0.2">
      <c r="A105" t="s">
        <v>22</v>
      </c>
    </row>
    <row r="107" spans="1:1" x14ac:dyDescent="0.2">
      <c r="A107" t="s">
        <v>125</v>
      </c>
    </row>
    <row r="109" spans="1:1" x14ac:dyDescent="0.2">
      <c r="A109" t="s">
        <v>126</v>
      </c>
    </row>
    <row r="110" spans="1:1" x14ac:dyDescent="0.2">
      <c r="A110" t="s">
        <v>127</v>
      </c>
    </row>
    <row r="111" spans="1:1" x14ac:dyDescent="0.2">
      <c r="A111" t="s">
        <v>128</v>
      </c>
    </row>
    <row r="114" spans="1:1" x14ac:dyDescent="0.2">
      <c r="A114" t="s">
        <v>34</v>
      </c>
    </row>
    <row r="116" spans="1:1" x14ac:dyDescent="0.2">
      <c r="A116" t="s">
        <v>169</v>
      </c>
    </row>
    <row r="117" spans="1:1" x14ac:dyDescent="0.2">
      <c r="A117" t="s">
        <v>170</v>
      </c>
    </row>
    <row r="119" spans="1:1" x14ac:dyDescent="0.2">
      <c r="A119" t="s">
        <v>35</v>
      </c>
    </row>
    <row r="121" spans="1:1" x14ac:dyDescent="0.2">
      <c r="A121" t="s">
        <v>169</v>
      </c>
    </row>
    <row r="122" spans="1:1" x14ac:dyDescent="0.2">
      <c r="A122" t="s">
        <v>170</v>
      </c>
    </row>
    <row r="124" spans="1:1" x14ac:dyDescent="0.2">
      <c r="A124" t="s">
        <v>36</v>
      </c>
    </row>
    <row r="126" spans="1:1" x14ac:dyDescent="0.2">
      <c r="A126" t="s">
        <v>37</v>
      </c>
    </row>
    <row r="128" spans="1:1" x14ac:dyDescent="0.2">
      <c r="A128" t="s">
        <v>129</v>
      </c>
    </row>
    <row r="130" spans="1:1" x14ac:dyDescent="0.2">
      <c r="A130" t="s">
        <v>130</v>
      </c>
    </row>
    <row r="131" spans="1:1" x14ac:dyDescent="0.2">
      <c r="A131" t="s">
        <v>131</v>
      </c>
    </row>
    <row r="133" spans="1:1" x14ac:dyDescent="0.2">
      <c r="A133" t="s">
        <v>38</v>
      </c>
    </row>
    <row r="135" spans="1:1" x14ac:dyDescent="0.2">
      <c r="A135" t="s">
        <v>39</v>
      </c>
    </row>
    <row r="136" spans="1:1" x14ac:dyDescent="0.2">
      <c r="A136" t="s">
        <v>40</v>
      </c>
    </row>
    <row r="140" spans="1:1" x14ac:dyDescent="0.2">
      <c r="A140" t="s">
        <v>5</v>
      </c>
    </row>
    <row r="143" spans="1:1" x14ac:dyDescent="0.2">
      <c r="A143" t="s">
        <v>29</v>
      </c>
    </row>
    <row r="144" spans="1:1" x14ac:dyDescent="0.2">
      <c r="A144" t="s">
        <v>30</v>
      </c>
    </row>
    <row r="146" spans="1:1" x14ac:dyDescent="0.2">
      <c r="A146" t="s">
        <v>6</v>
      </c>
    </row>
    <row r="148" spans="1:1" x14ac:dyDescent="0.2">
      <c r="A148" t="s">
        <v>31</v>
      </c>
    </row>
    <row r="149" spans="1:1" x14ac:dyDescent="0.2">
      <c r="A149" t="s">
        <v>32</v>
      </c>
    </row>
    <row r="151" spans="1:1" x14ac:dyDescent="0.2">
      <c r="A151" t="s">
        <v>5</v>
      </c>
    </row>
    <row r="153" spans="1:1" x14ac:dyDescent="0.2">
      <c r="A153" t="s">
        <v>169</v>
      </c>
    </row>
    <row r="154" spans="1:1" x14ac:dyDescent="0.2">
      <c r="A154" t="s">
        <v>170</v>
      </c>
    </row>
    <row r="158" spans="1:1" x14ac:dyDescent="0.2">
      <c r="A158" t="s">
        <v>33</v>
      </c>
    </row>
    <row r="160" spans="1:1" x14ac:dyDescent="0.2">
      <c r="A160" t="s">
        <v>169</v>
      </c>
    </row>
    <row r="161" spans="1:7" x14ac:dyDescent="0.2">
      <c r="A161" t="s">
        <v>170</v>
      </c>
    </row>
    <row r="164" spans="1:7" x14ac:dyDescent="0.2">
      <c r="A164" t="s">
        <v>41</v>
      </c>
    </row>
    <row r="166" spans="1:7" x14ac:dyDescent="0.2">
      <c r="A166" t="s">
        <v>169</v>
      </c>
    </row>
    <row r="167" spans="1:7" x14ac:dyDescent="0.2">
      <c r="A167" t="s">
        <v>170</v>
      </c>
    </row>
    <row r="169" spans="1:7" x14ac:dyDescent="0.2">
      <c r="A169" t="s">
        <v>42</v>
      </c>
    </row>
    <row r="171" spans="1:7" x14ac:dyDescent="0.2">
      <c r="A171" t="s">
        <v>169</v>
      </c>
    </row>
    <row r="172" spans="1:7" x14ac:dyDescent="0.2">
      <c r="A172" t="s">
        <v>170</v>
      </c>
    </row>
    <row r="174" spans="1:7" x14ac:dyDescent="0.2">
      <c r="A174" t="s">
        <v>94</v>
      </c>
    </row>
    <row r="176" spans="1:7" x14ac:dyDescent="0.2">
      <c r="A176" s="6" t="s">
        <v>96</v>
      </c>
      <c r="B176" s="6"/>
      <c r="C176" s="6"/>
      <c r="D176" s="6" t="s">
        <v>222</v>
      </c>
      <c r="E176" s="6"/>
      <c r="F176" s="6"/>
      <c r="G176" s="6"/>
    </row>
    <row r="178" spans="1:7" x14ac:dyDescent="0.2">
      <c r="A178" t="s">
        <v>98</v>
      </c>
    </row>
    <row r="180" spans="1:7" x14ac:dyDescent="0.2">
      <c r="A180" t="s">
        <v>169</v>
      </c>
    </row>
    <row r="181" spans="1:7" x14ac:dyDescent="0.2">
      <c r="A181" t="s">
        <v>170</v>
      </c>
    </row>
    <row r="185" spans="1:7" x14ac:dyDescent="0.2">
      <c r="A185" t="s">
        <v>97</v>
      </c>
    </row>
    <row r="187" spans="1:7" x14ac:dyDescent="0.2">
      <c r="A187" s="6" t="s">
        <v>96</v>
      </c>
      <c r="B187" s="6"/>
      <c r="C187" s="6"/>
      <c r="D187" s="6" t="s">
        <v>222</v>
      </c>
      <c r="E187" s="6"/>
      <c r="F187" s="6"/>
      <c r="G187" s="6"/>
    </row>
    <row r="189" spans="1:7" x14ac:dyDescent="0.2">
      <c r="A189" t="s">
        <v>99</v>
      </c>
    </row>
    <row r="191" spans="1:7" x14ac:dyDescent="0.2">
      <c r="A191" t="s">
        <v>169</v>
      </c>
    </row>
    <row r="192" spans="1:7" x14ac:dyDescent="0.2">
      <c r="A192" t="s">
        <v>170</v>
      </c>
    </row>
    <row r="194" spans="1:7" x14ac:dyDescent="0.2">
      <c r="A194" t="s">
        <v>100</v>
      </c>
    </row>
    <row r="196" spans="1:7" x14ac:dyDescent="0.2">
      <c r="A196" s="6" t="s">
        <v>101</v>
      </c>
      <c r="B196" s="6"/>
      <c r="C196" s="6"/>
      <c r="D196" s="6" t="s">
        <v>222</v>
      </c>
      <c r="E196" s="6"/>
      <c r="F196" s="6"/>
      <c r="G196" s="6"/>
    </row>
    <row r="212" spans="1:1" x14ac:dyDescent="0.2">
      <c r="A212" t="s">
        <v>157</v>
      </c>
    </row>
    <row r="215" spans="1:1" x14ac:dyDescent="0.2">
      <c r="A215" t="s">
        <v>11</v>
      </c>
    </row>
    <row r="216" spans="1:1" x14ac:dyDescent="0.2">
      <c r="A216" s="1" t="s">
        <v>7</v>
      </c>
    </row>
    <row r="217" spans="1:1" x14ac:dyDescent="0.2">
      <c r="A217" s="1" t="s">
        <v>8</v>
      </c>
    </row>
    <row r="218" spans="1:1" x14ac:dyDescent="0.2">
      <c r="A218" s="1" t="s">
        <v>9</v>
      </c>
    </row>
    <row r="219" spans="1:1" x14ac:dyDescent="0.2">
      <c r="A219" s="1" t="s">
        <v>10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/>
    </row>
    <row r="223" spans="1:1" x14ac:dyDescent="0.2">
      <c r="A223" s="1"/>
    </row>
    <row r="224" spans="1:1" x14ac:dyDescent="0.2">
      <c r="A224" s="1" t="s">
        <v>835</v>
      </c>
    </row>
    <row r="225" spans="1:1" x14ac:dyDescent="0.2">
      <c r="A225" s="1"/>
    </row>
    <row r="226" spans="1:1" x14ac:dyDescent="0.2">
      <c r="A226" s="1" t="s">
        <v>757</v>
      </c>
    </row>
    <row r="227" spans="1:1" x14ac:dyDescent="0.2">
      <c r="A227" s="1" t="s">
        <v>758</v>
      </c>
    </row>
    <row r="228" spans="1:1" x14ac:dyDescent="0.2">
      <c r="A228" s="1" t="s">
        <v>759</v>
      </c>
    </row>
    <row r="229" spans="1:1" x14ac:dyDescent="0.2">
      <c r="A229" s="1" t="s">
        <v>760</v>
      </c>
    </row>
    <row r="230" spans="1:1" x14ac:dyDescent="0.2">
      <c r="A230" s="1" t="s">
        <v>761</v>
      </c>
    </row>
    <row r="231" spans="1:1" x14ac:dyDescent="0.2">
      <c r="A231" s="1" t="s">
        <v>762</v>
      </c>
    </row>
    <row r="232" spans="1:1" x14ac:dyDescent="0.2">
      <c r="A232" s="1"/>
    </row>
    <row r="233" spans="1:1" x14ac:dyDescent="0.2">
      <c r="A233" s="1" t="s">
        <v>763</v>
      </c>
    </row>
    <row r="234" spans="1:1" x14ac:dyDescent="0.2">
      <c r="A234" s="1"/>
    </row>
    <row r="235" spans="1:1" x14ac:dyDescent="0.2">
      <c r="A235" s="1" t="s">
        <v>757</v>
      </c>
    </row>
    <row r="236" spans="1:1" x14ac:dyDescent="0.2">
      <c r="A236" s="1" t="s">
        <v>758</v>
      </c>
    </row>
    <row r="237" spans="1:1" x14ac:dyDescent="0.2">
      <c r="A237" s="1" t="s">
        <v>759</v>
      </c>
    </row>
    <row r="238" spans="1:1" x14ac:dyDescent="0.2">
      <c r="A238" s="1" t="s">
        <v>760</v>
      </c>
    </row>
    <row r="239" spans="1:1" x14ac:dyDescent="0.2">
      <c r="A239" s="1" t="s">
        <v>761</v>
      </c>
    </row>
    <row r="240" spans="1:1" x14ac:dyDescent="0.2">
      <c r="A240" s="1" t="s">
        <v>762</v>
      </c>
    </row>
    <row r="241" spans="1:1" x14ac:dyDescent="0.2">
      <c r="A241" s="1"/>
    </row>
    <row r="242" spans="1:1" x14ac:dyDescent="0.2">
      <c r="A242" s="1"/>
    </row>
    <row r="243" spans="1:1" x14ac:dyDescent="0.2">
      <c r="A243" s="1" t="s">
        <v>764</v>
      </c>
    </row>
    <row r="244" spans="1:1" x14ac:dyDescent="0.2">
      <c r="A244" s="1"/>
    </row>
    <row r="245" spans="1:1" x14ac:dyDescent="0.2">
      <c r="A245" s="1" t="s">
        <v>765</v>
      </c>
    </row>
    <row r="246" spans="1:1" x14ac:dyDescent="0.2">
      <c r="A246" s="1" t="s">
        <v>766</v>
      </c>
    </row>
    <row r="247" spans="1:1" x14ac:dyDescent="0.2">
      <c r="A247" s="1" t="s">
        <v>767</v>
      </c>
    </row>
    <row r="248" spans="1:1" x14ac:dyDescent="0.2">
      <c r="A248" s="1" t="s">
        <v>768</v>
      </c>
    </row>
    <row r="249" spans="1:1" x14ac:dyDescent="0.2">
      <c r="A249" s="1" t="s">
        <v>769</v>
      </c>
    </row>
    <row r="250" spans="1:1" x14ac:dyDescent="0.2">
      <c r="A250" s="1"/>
    </row>
    <row r="251" spans="1:1" x14ac:dyDescent="0.2">
      <c r="A251" s="1" t="s">
        <v>770</v>
      </c>
    </row>
    <row r="252" spans="1:1" x14ac:dyDescent="0.2">
      <c r="A252" s="1"/>
    </row>
    <row r="253" spans="1:1" x14ac:dyDescent="0.2">
      <c r="A253" s="1" t="s">
        <v>771</v>
      </c>
    </row>
    <row r="254" spans="1:1" x14ac:dyDescent="0.2">
      <c r="A254" s="1" t="s">
        <v>772</v>
      </c>
    </row>
    <row r="255" spans="1:1" x14ac:dyDescent="0.2">
      <c r="A255" s="1" t="s">
        <v>773</v>
      </c>
    </row>
    <row r="256" spans="1:1" x14ac:dyDescent="0.2">
      <c r="A256" s="1" t="s">
        <v>774</v>
      </c>
    </row>
    <row r="257" spans="1:1" x14ac:dyDescent="0.2">
      <c r="A257" s="1" t="s">
        <v>775</v>
      </c>
    </row>
    <row r="258" spans="1:1" x14ac:dyDescent="0.2">
      <c r="A258" s="1" t="s">
        <v>762</v>
      </c>
    </row>
    <row r="259" spans="1:1" x14ac:dyDescent="0.2">
      <c r="A259" s="1"/>
    </row>
    <row r="260" spans="1:1" x14ac:dyDescent="0.2">
      <c r="A260" s="1"/>
    </row>
    <row r="261" spans="1:1" x14ac:dyDescent="0.2">
      <c r="A261" s="1" t="s">
        <v>776</v>
      </c>
    </row>
    <row r="262" spans="1:1" x14ac:dyDescent="0.2">
      <c r="A262" s="1"/>
    </row>
    <row r="263" spans="1:1" x14ac:dyDescent="0.2">
      <c r="A263" s="1" t="s">
        <v>771</v>
      </c>
    </row>
    <row r="264" spans="1:1" x14ac:dyDescent="0.2">
      <c r="A264" s="1" t="s">
        <v>772</v>
      </c>
    </row>
    <row r="265" spans="1:1" x14ac:dyDescent="0.2">
      <c r="A265" s="1" t="s">
        <v>773</v>
      </c>
    </row>
    <row r="266" spans="1:1" x14ac:dyDescent="0.2">
      <c r="A266" s="1" t="s">
        <v>774</v>
      </c>
    </row>
    <row r="267" spans="1:1" x14ac:dyDescent="0.2">
      <c r="A267" s="1" t="s">
        <v>775</v>
      </c>
    </row>
    <row r="268" spans="1:1" x14ac:dyDescent="0.2">
      <c r="A268" s="1" t="s">
        <v>762</v>
      </c>
    </row>
    <row r="269" spans="1:1" x14ac:dyDescent="0.2">
      <c r="A269" s="1"/>
    </row>
    <row r="270" spans="1:1" x14ac:dyDescent="0.2">
      <c r="A270" s="1"/>
    </row>
    <row r="271" spans="1:1" x14ac:dyDescent="0.2">
      <c r="A271" s="1" t="s">
        <v>669</v>
      </c>
    </row>
    <row r="272" spans="1:1" x14ac:dyDescent="0.2">
      <c r="A272" s="1"/>
    </row>
    <row r="273" spans="1:2" x14ac:dyDescent="0.2">
      <c r="A273" s="1" t="s">
        <v>777</v>
      </c>
    </row>
    <row r="274" spans="1:2" x14ac:dyDescent="0.2">
      <c r="A274" t="s">
        <v>778</v>
      </c>
    </row>
    <row r="275" spans="1:2" x14ac:dyDescent="0.2">
      <c r="A275" s="1" t="s">
        <v>779</v>
      </c>
      <c r="B275" s="1"/>
    </row>
    <row r="276" spans="1:2" x14ac:dyDescent="0.2">
      <c r="A276" s="1" t="s">
        <v>780</v>
      </c>
    </row>
    <row r="277" spans="1:2" x14ac:dyDescent="0.2">
      <c r="A277" s="1"/>
    </row>
    <row r="278" spans="1:2" x14ac:dyDescent="0.2">
      <c r="A278" s="1"/>
    </row>
    <row r="279" spans="1:2" x14ac:dyDescent="0.2">
      <c r="A279" s="1" t="s">
        <v>703</v>
      </c>
    </row>
    <row r="280" spans="1:2" x14ac:dyDescent="0.2">
      <c r="A280" s="1"/>
    </row>
    <row r="281" spans="1:2" x14ac:dyDescent="0.2">
      <c r="A281" s="1" t="s">
        <v>781</v>
      </c>
    </row>
    <row r="282" spans="1:2" x14ac:dyDescent="0.2">
      <c r="A282" s="1" t="s">
        <v>782</v>
      </c>
    </row>
    <row r="283" spans="1:2" x14ac:dyDescent="0.2">
      <c r="A283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ht="17" customHeight="1" x14ac:dyDescent="0.2">
      <c r="A298" s="1"/>
    </row>
    <row r="299" spans="1:1" x14ac:dyDescent="0.2">
      <c r="A299" s="1"/>
    </row>
    <row r="302" spans="1:1" x14ac:dyDescent="0.2">
      <c r="A302" s="1" t="s">
        <v>252</v>
      </c>
    </row>
    <row r="304" spans="1:1" x14ac:dyDescent="0.2">
      <c r="A304" t="s">
        <v>253</v>
      </c>
    </row>
    <row r="305" spans="1:1" x14ac:dyDescent="0.2">
      <c r="A305" t="s">
        <v>254</v>
      </c>
    </row>
    <row r="306" spans="1:1" x14ac:dyDescent="0.2">
      <c r="A306" t="s">
        <v>255</v>
      </c>
    </row>
    <row r="307" spans="1:1" x14ac:dyDescent="0.2">
      <c r="A307" t="s">
        <v>256</v>
      </c>
    </row>
    <row r="308" spans="1:1" x14ac:dyDescent="0.2">
      <c r="A308" t="s">
        <v>257</v>
      </c>
    </row>
    <row r="309" spans="1:1" x14ac:dyDescent="0.2">
      <c r="A309" t="s">
        <v>258</v>
      </c>
    </row>
    <row r="310" spans="1:1" x14ac:dyDescent="0.2">
      <c r="A310" t="s">
        <v>259</v>
      </c>
    </row>
    <row r="311" spans="1:1" x14ac:dyDescent="0.2">
      <c r="A311" t="s">
        <v>260</v>
      </c>
    </row>
    <row r="313" spans="1:1" x14ac:dyDescent="0.2">
      <c r="A313" t="s">
        <v>230</v>
      </c>
    </row>
    <row r="314" spans="1:1" x14ac:dyDescent="0.2">
      <c r="A314" t="s">
        <v>261</v>
      </c>
    </row>
    <row r="315" spans="1:1" x14ac:dyDescent="0.2">
      <c r="A315" t="s">
        <v>262</v>
      </c>
    </row>
    <row r="316" spans="1:1" x14ac:dyDescent="0.2">
      <c r="A316" t="s">
        <v>263</v>
      </c>
    </row>
    <row r="318" spans="1:1" x14ac:dyDescent="0.2">
      <c r="A318" s="1" t="s">
        <v>714</v>
      </c>
    </row>
    <row r="319" spans="1:1" x14ac:dyDescent="0.2">
      <c r="A319" s="1"/>
    </row>
    <row r="320" spans="1:1" x14ac:dyDescent="0.2">
      <c r="A320" s="1" t="s">
        <v>799</v>
      </c>
    </row>
    <row r="321" spans="1:1" x14ac:dyDescent="0.2">
      <c r="A321" s="1" t="s">
        <v>860</v>
      </c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 t="s">
        <v>783</v>
      </c>
    </row>
    <row r="329" spans="1:1" x14ac:dyDescent="0.2">
      <c r="A329" s="1"/>
    </row>
    <row r="330" spans="1:1" x14ac:dyDescent="0.2">
      <c r="A330" s="1" t="s">
        <v>784</v>
      </c>
    </row>
    <row r="331" spans="1:1" x14ac:dyDescent="0.2">
      <c r="A331" s="1" t="s">
        <v>785</v>
      </c>
    </row>
    <row r="332" spans="1:1" x14ac:dyDescent="0.2">
      <c r="A332" s="1" t="s">
        <v>786</v>
      </c>
    </row>
    <row r="333" spans="1:1" x14ac:dyDescent="0.2">
      <c r="A333" s="1" t="s">
        <v>787</v>
      </c>
    </row>
    <row r="334" spans="1:1" x14ac:dyDescent="0.2">
      <c r="A334" s="1"/>
    </row>
    <row r="335" spans="1:1" x14ac:dyDescent="0.2">
      <c r="A335" s="1"/>
    </row>
    <row r="338" spans="1:1" x14ac:dyDescent="0.2">
      <c r="A338" s="1" t="s">
        <v>788</v>
      </c>
    </row>
    <row r="339" spans="1:1" x14ac:dyDescent="0.2">
      <c r="A339" s="1" t="s">
        <v>789</v>
      </c>
    </row>
    <row r="340" spans="1:1" x14ac:dyDescent="0.2">
      <c r="A340" s="1" t="s">
        <v>790</v>
      </c>
    </row>
    <row r="341" spans="1:1" x14ac:dyDescent="0.2">
      <c r="A341" s="1"/>
    </row>
    <row r="342" spans="1:1" x14ac:dyDescent="0.2">
      <c r="A342" s="1" t="s">
        <v>791</v>
      </c>
    </row>
    <row r="343" spans="1:1" x14ac:dyDescent="0.2">
      <c r="A343" s="1" t="s">
        <v>792</v>
      </c>
    </row>
    <row r="344" spans="1:1" x14ac:dyDescent="0.2">
      <c r="A344" s="1" t="s">
        <v>793</v>
      </c>
    </row>
    <row r="345" spans="1:1" x14ac:dyDescent="0.2">
      <c r="A345" s="1" t="s">
        <v>794</v>
      </c>
    </row>
    <row r="346" spans="1:1" x14ac:dyDescent="0.2">
      <c r="A346" s="1" t="s">
        <v>795</v>
      </c>
    </row>
    <row r="347" spans="1:1" x14ac:dyDescent="0.2">
      <c r="A347" s="1"/>
    </row>
    <row r="348" spans="1:1" x14ac:dyDescent="0.2">
      <c r="A348" s="1" t="s">
        <v>672</v>
      </c>
    </row>
    <row r="349" spans="1:1" x14ac:dyDescent="0.2">
      <c r="A349" s="1"/>
    </row>
    <row r="350" spans="1:1" x14ac:dyDescent="0.2">
      <c r="A350" s="1" t="s">
        <v>796</v>
      </c>
    </row>
    <row r="351" spans="1:1" x14ac:dyDescent="0.2">
      <c r="A351" s="1" t="s">
        <v>797</v>
      </c>
    </row>
    <row r="352" spans="1:1" x14ac:dyDescent="0.2">
      <c r="A352" s="1"/>
    </row>
    <row r="353" spans="1:1" x14ac:dyDescent="0.2">
      <c r="A353" s="1" t="s">
        <v>798</v>
      </c>
    </row>
    <row r="354" spans="1:1" x14ac:dyDescent="0.2">
      <c r="A354" s="1"/>
    </row>
    <row r="355" spans="1:1" x14ac:dyDescent="0.2">
      <c r="A355" s="1" t="s">
        <v>726</v>
      </c>
    </row>
    <row r="356" spans="1:1" x14ac:dyDescent="0.2">
      <c r="A356" s="1"/>
    </row>
    <row r="357" spans="1:1" x14ac:dyDescent="0.2">
      <c r="A357" s="1" t="s">
        <v>799</v>
      </c>
    </row>
    <row r="358" spans="1:1" x14ac:dyDescent="0.2">
      <c r="A358" s="1" t="s">
        <v>170</v>
      </c>
    </row>
    <row r="359" spans="1:1" x14ac:dyDescent="0.2">
      <c r="A359" s="1" t="s">
        <v>800</v>
      </c>
    </row>
    <row r="360" spans="1:1" x14ac:dyDescent="0.2">
      <c r="A360" s="1"/>
    </row>
    <row r="361" spans="1:1" x14ac:dyDescent="0.2">
      <c r="A361" s="1" t="s">
        <v>801</v>
      </c>
    </row>
    <row r="362" spans="1:1" x14ac:dyDescent="0.2">
      <c r="A362" s="1"/>
    </row>
    <row r="363" spans="1:1" x14ac:dyDescent="0.2">
      <c r="A363" s="1" t="s">
        <v>799</v>
      </c>
    </row>
    <row r="364" spans="1:1" x14ac:dyDescent="0.2">
      <c r="A364" s="1" t="s">
        <v>170</v>
      </c>
    </row>
    <row r="365" spans="1:1" x14ac:dyDescent="0.2">
      <c r="A365" s="1" t="s">
        <v>800</v>
      </c>
    </row>
    <row r="366" spans="1:1" x14ac:dyDescent="0.2">
      <c r="A366" s="1"/>
    </row>
    <row r="367" spans="1:1" x14ac:dyDescent="0.2">
      <c r="A367" s="1" t="s">
        <v>802</v>
      </c>
    </row>
    <row r="368" spans="1:1" x14ac:dyDescent="0.2">
      <c r="A368" s="1"/>
    </row>
    <row r="369" spans="1:1" x14ac:dyDescent="0.2">
      <c r="A369" s="1" t="s">
        <v>169</v>
      </c>
    </row>
    <row r="370" spans="1:1" x14ac:dyDescent="0.2">
      <c r="A370" s="1" t="s">
        <v>170</v>
      </c>
    </row>
    <row r="371" spans="1:1" x14ac:dyDescent="0.2">
      <c r="A371" s="1" t="s">
        <v>803</v>
      </c>
    </row>
    <row r="372" spans="1:1" x14ac:dyDescent="0.2">
      <c r="A372" s="1"/>
    </row>
    <row r="373" spans="1:1" x14ac:dyDescent="0.2">
      <c r="A373" s="1" t="s">
        <v>729</v>
      </c>
    </row>
    <row r="374" spans="1:1" x14ac:dyDescent="0.2">
      <c r="A374" s="1"/>
    </row>
    <row r="375" spans="1:1" x14ac:dyDescent="0.2">
      <c r="A375" s="1" t="s">
        <v>169</v>
      </c>
    </row>
    <row r="376" spans="1:1" x14ac:dyDescent="0.2">
      <c r="A376" s="1" t="s">
        <v>170</v>
      </c>
    </row>
    <row r="377" spans="1:1" x14ac:dyDescent="0.2">
      <c r="A377" s="1" t="s">
        <v>803</v>
      </c>
    </row>
    <row r="378" spans="1:1" x14ac:dyDescent="0.2">
      <c r="A378" s="1"/>
    </row>
    <row r="379" spans="1:1" x14ac:dyDescent="0.2">
      <c r="A379" s="1" t="s">
        <v>804</v>
      </c>
    </row>
    <row r="380" spans="1:1" x14ac:dyDescent="0.2">
      <c r="A380" s="1"/>
    </row>
    <row r="381" spans="1:1" x14ac:dyDescent="0.2">
      <c r="A381" s="1" t="s">
        <v>169</v>
      </c>
    </row>
    <row r="382" spans="1:1" x14ac:dyDescent="0.2">
      <c r="A382" s="1" t="s">
        <v>170</v>
      </c>
    </row>
    <row r="383" spans="1:1" x14ac:dyDescent="0.2">
      <c r="A383" s="1" t="s">
        <v>803</v>
      </c>
    </row>
    <row r="384" spans="1:1" x14ac:dyDescent="0.2">
      <c r="A384" s="1"/>
    </row>
    <row r="385" spans="1:1" x14ac:dyDescent="0.2">
      <c r="A385" s="1" t="s">
        <v>805</v>
      </c>
    </row>
    <row r="386" spans="1:1" x14ac:dyDescent="0.2">
      <c r="A386" s="1"/>
    </row>
    <row r="387" spans="1:1" x14ac:dyDescent="0.2">
      <c r="A387" s="1" t="s">
        <v>462</v>
      </c>
    </row>
    <row r="388" spans="1:1" x14ac:dyDescent="0.2">
      <c r="A388" s="1" t="s">
        <v>800</v>
      </c>
    </row>
    <row r="389" spans="1:1" x14ac:dyDescent="0.2">
      <c r="A389" s="1" t="s">
        <v>834</v>
      </c>
    </row>
    <row r="390" spans="1:1" x14ac:dyDescent="0.2">
      <c r="A390" s="1" t="s">
        <v>806</v>
      </c>
    </row>
    <row r="391" spans="1:1" x14ac:dyDescent="0.2">
      <c r="A391" s="1" t="s">
        <v>807</v>
      </c>
    </row>
    <row r="392" spans="1:1" x14ac:dyDescent="0.2">
      <c r="A392" s="1"/>
    </row>
    <row r="393" spans="1:1" x14ac:dyDescent="0.2">
      <c r="A393" s="1" t="s">
        <v>731</v>
      </c>
    </row>
    <row r="394" spans="1:1" x14ac:dyDescent="0.2">
      <c r="A394" s="1"/>
    </row>
    <row r="395" spans="1:1" x14ac:dyDescent="0.2">
      <c r="A395" s="1" t="s">
        <v>799</v>
      </c>
    </row>
    <row r="396" spans="1:1" x14ac:dyDescent="0.2">
      <c r="A396" s="1" t="s">
        <v>170</v>
      </c>
    </row>
    <row r="397" spans="1:1" x14ac:dyDescent="0.2">
      <c r="A397" s="1" t="s">
        <v>803</v>
      </c>
    </row>
    <row r="398" spans="1:1" x14ac:dyDescent="0.2">
      <c r="A398" s="1"/>
    </row>
    <row r="399" spans="1:1" x14ac:dyDescent="0.2">
      <c r="A399" s="1" t="s">
        <v>808</v>
      </c>
    </row>
    <row r="400" spans="1:1" x14ac:dyDescent="0.2">
      <c r="A400" s="1"/>
    </row>
    <row r="401" spans="1:1" x14ac:dyDescent="0.2">
      <c r="A401" s="1" t="s">
        <v>169</v>
      </c>
    </row>
    <row r="402" spans="1:1" x14ac:dyDescent="0.2">
      <c r="A402" s="1" t="s">
        <v>170</v>
      </c>
    </row>
    <row r="403" spans="1:1" x14ac:dyDescent="0.2">
      <c r="A403" s="1" t="s">
        <v>803</v>
      </c>
    </row>
    <row r="404" spans="1:1" x14ac:dyDescent="0.2">
      <c r="A404" s="1"/>
    </row>
    <row r="405" spans="1:1" x14ac:dyDescent="0.2">
      <c r="A405" s="1" t="s">
        <v>733</v>
      </c>
    </row>
    <row r="406" spans="1:1" x14ac:dyDescent="0.2">
      <c r="A406" s="1"/>
    </row>
    <row r="407" spans="1:1" x14ac:dyDescent="0.2">
      <c r="A407" s="1" t="s">
        <v>169</v>
      </c>
    </row>
    <row r="408" spans="1:1" x14ac:dyDescent="0.2">
      <c r="A408" s="1" t="s">
        <v>170</v>
      </c>
    </row>
    <row r="409" spans="1:1" x14ac:dyDescent="0.2">
      <c r="A409" s="1" t="s">
        <v>803</v>
      </c>
    </row>
    <row r="410" spans="1:1" x14ac:dyDescent="0.2">
      <c r="A410" s="1"/>
    </row>
    <row r="411" spans="1:1" x14ac:dyDescent="0.2">
      <c r="A411" s="1" t="s">
        <v>734</v>
      </c>
    </row>
    <row r="412" spans="1:1" x14ac:dyDescent="0.2">
      <c r="A412" s="1"/>
    </row>
    <row r="413" spans="1:1" x14ac:dyDescent="0.2">
      <c r="A413" s="1" t="s">
        <v>169</v>
      </c>
    </row>
    <row r="414" spans="1:1" x14ac:dyDescent="0.2">
      <c r="A414" s="1" t="s">
        <v>170</v>
      </c>
    </row>
    <row r="415" spans="1:1" x14ac:dyDescent="0.2">
      <c r="A415" s="1" t="s">
        <v>803</v>
      </c>
    </row>
    <row r="416" spans="1:1" x14ac:dyDescent="0.2">
      <c r="A416" s="1"/>
    </row>
    <row r="417" spans="1:1" x14ac:dyDescent="0.2">
      <c r="A417" s="1" t="s">
        <v>809</v>
      </c>
    </row>
    <row r="418" spans="1:1" x14ac:dyDescent="0.2">
      <c r="A418" s="1"/>
    </row>
    <row r="419" spans="1:1" x14ac:dyDescent="0.2">
      <c r="A419" s="1" t="s">
        <v>810</v>
      </c>
    </row>
    <row r="420" spans="1:1" x14ac:dyDescent="0.2">
      <c r="A420" s="1" t="s">
        <v>811</v>
      </c>
    </row>
    <row r="421" spans="1:1" x14ac:dyDescent="0.2">
      <c r="A421" s="1" t="s">
        <v>812</v>
      </c>
    </row>
    <row r="422" spans="1:1" x14ac:dyDescent="0.2">
      <c r="A422" s="1" t="s">
        <v>813</v>
      </c>
    </row>
    <row r="423" spans="1:1" x14ac:dyDescent="0.2">
      <c r="A423" s="1"/>
    </row>
    <row r="424" spans="1:1" x14ac:dyDescent="0.2">
      <c r="A424" s="1" t="s">
        <v>814</v>
      </c>
    </row>
    <row r="425" spans="1:1" x14ac:dyDescent="0.2">
      <c r="A425" s="1"/>
    </row>
    <row r="426" spans="1:1" x14ac:dyDescent="0.2">
      <c r="A426" s="1" t="s">
        <v>815</v>
      </c>
    </row>
    <row r="427" spans="1:1" x14ac:dyDescent="0.2">
      <c r="A427" s="1" t="s">
        <v>816</v>
      </c>
    </row>
    <row r="428" spans="1:1" x14ac:dyDescent="0.2">
      <c r="A428" s="1" t="s">
        <v>817</v>
      </c>
    </row>
    <row r="429" spans="1:1" x14ac:dyDescent="0.2">
      <c r="A429" s="1"/>
    </row>
    <row r="430" spans="1:1" x14ac:dyDescent="0.2">
      <c r="A430" s="1" t="s">
        <v>818</v>
      </c>
    </row>
    <row r="431" spans="1:1" x14ac:dyDescent="0.2">
      <c r="A431" s="1"/>
    </row>
    <row r="432" spans="1:1" x14ac:dyDescent="0.2">
      <c r="A432" s="1" t="s">
        <v>819</v>
      </c>
    </row>
    <row r="433" spans="1:1" x14ac:dyDescent="0.2">
      <c r="A433" s="1" t="s">
        <v>820</v>
      </c>
    </row>
    <row r="434" spans="1:1" x14ac:dyDescent="0.2">
      <c r="A434" s="1" t="s">
        <v>803</v>
      </c>
    </row>
    <row r="435" spans="1:1" x14ac:dyDescent="0.2">
      <c r="A435" s="1" t="s">
        <v>821</v>
      </c>
    </row>
    <row r="436" spans="1:1" x14ac:dyDescent="0.2">
      <c r="A436" s="1" t="s">
        <v>822</v>
      </c>
    </row>
    <row r="437" spans="1:1" x14ac:dyDescent="0.2">
      <c r="A437" s="1" t="s">
        <v>823</v>
      </c>
    </row>
    <row r="438" spans="1:1" x14ac:dyDescent="0.2">
      <c r="A438" s="1"/>
    </row>
    <row r="439" spans="1:1" x14ac:dyDescent="0.2">
      <c r="A439" s="1" t="s">
        <v>741</v>
      </c>
    </row>
    <row r="440" spans="1:1" x14ac:dyDescent="0.2">
      <c r="A440" s="1"/>
    </row>
    <row r="441" spans="1:1" x14ac:dyDescent="0.2">
      <c r="A441" s="1" t="s">
        <v>824</v>
      </c>
    </row>
    <row r="442" spans="1:1" x14ac:dyDescent="0.2">
      <c r="A442" s="1"/>
    </row>
    <row r="443" spans="1:1" x14ac:dyDescent="0.2">
      <c r="A443" s="1" t="s">
        <v>825</v>
      </c>
    </row>
    <row r="444" spans="1:1" x14ac:dyDescent="0.2">
      <c r="A444" s="1"/>
    </row>
    <row r="445" spans="1:1" x14ac:dyDescent="0.2">
      <c r="A445" s="1" t="s">
        <v>169</v>
      </c>
    </row>
    <row r="446" spans="1:1" x14ac:dyDescent="0.2">
      <c r="A446" s="1" t="s">
        <v>170</v>
      </c>
    </row>
    <row r="447" spans="1:1" x14ac:dyDescent="0.2">
      <c r="A447" s="1" t="s">
        <v>803</v>
      </c>
    </row>
    <row r="448" spans="1:1" x14ac:dyDescent="0.2">
      <c r="A448" s="1"/>
    </row>
    <row r="449" spans="1:1" x14ac:dyDescent="0.2">
      <c r="A449" s="1"/>
    </row>
    <row r="450" spans="1:1" x14ac:dyDescent="0.2">
      <c r="A450" s="1" t="s">
        <v>744</v>
      </c>
    </row>
    <row r="451" spans="1:1" x14ac:dyDescent="0.2">
      <c r="A451" s="1"/>
    </row>
    <row r="452" spans="1:1" x14ac:dyDescent="0.2">
      <c r="A452" s="1" t="s">
        <v>826</v>
      </c>
    </row>
    <row r="453" spans="1:1" x14ac:dyDescent="0.2">
      <c r="A453" s="1" t="s">
        <v>827</v>
      </c>
    </row>
    <row r="454" spans="1:1" x14ac:dyDescent="0.2">
      <c r="A454" s="1" t="s">
        <v>828</v>
      </c>
    </row>
    <row r="455" spans="1:1" x14ac:dyDescent="0.2">
      <c r="A455" s="1" t="s">
        <v>829</v>
      </c>
    </row>
    <row r="456" spans="1:1" x14ac:dyDescent="0.2">
      <c r="A456" s="1" t="s">
        <v>830</v>
      </c>
    </row>
    <row r="457" spans="1:1" x14ac:dyDescent="0.2">
      <c r="A457" s="1" t="s">
        <v>762</v>
      </c>
    </row>
    <row r="458" spans="1:1" x14ac:dyDescent="0.2">
      <c r="A458" s="1"/>
    </row>
    <row r="459" spans="1:1" x14ac:dyDescent="0.2">
      <c r="A459" s="1"/>
    </row>
    <row r="460" spans="1:1" x14ac:dyDescent="0.2">
      <c r="A460" s="1" t="s">
        <v>719</v>
      </c>
    </row>
    <row r="462" spans="1:1" x14ac:dyDescent="0.2">
      <c r="A462" t="s">
        <v>861</v>
      </c>
    </row>
    <row r="463" spans="1:1" x14ac:dyDescent="0.2">
      <c r="A463" t="s">
        <v>862</v>
      </c>
    </row>
    <row r="466" spans="1:1" x14ac:dyDescent="0.2">
      <c r="A466" t="s">
        <v>528</v>
      </c>
    </row>
    <row r="468" spans="1:1" x14ac:dyDescent="0.2">
      <c r="A468" t="s">
        <v>863</v>
      </c>
    </row>
    <row r="469" spans="1:1" x14ac:dyDescent="0.2">
      <c r="A469" t="s">
        <v>864</v>
      </c>
    </row>
    <row r="479" spans="1:1" x14ac:dyDescent="0.2">
      <c r="A479" t="s">
        <v>306</v>
      </c>
    </row>
    <row r="480" spans="1:1" x14ac:dyDescent="0.2">
      <c r="A480" t="s">
        <v>307</v>
      </c>
    </row>
    <row r="481" spans="1:1" x14ac:dyDescent="0.2">
      <c r="A481" t="s">
        <v>308</v>
      </c>
    </row>
    <row r="483" spans="1:1" x14ac:dyDescent="0.2">
      <c r="A483" t="s">
        <v>273</v>
      </c>
    </row>
    <row r="484" spans="1:1" x14ac:dyDescent="0.2">
      <c r="A484" t="s">
        <v>309</v>
      </c>
    </row>
    <row r="485" spans="1:1" x14ac:dyDescent="0.2">
      <c r="A485" t="s">
        <v>310</v>
      </c>
    </row>
    <row r="486" spans="1:1" x14ac:dyDescent="0.2">
      <c r="A486" t="s">
        <v>311</v>
      </c>
    </row>
    <row r="487" spans="1:1" x14ac:dyDescent="0.2">
      <c r="A487" t="s">
        <v>312</v>
      </c>
    </row>
    <row r="489" spans="1:1" x14ac:dyDescent="0.2">
      <c r="A489" t="s">
        <v>274</v>
      </c>
    </row>
    <row r="491" spans="1:1" x14ac:dyDescent="0.2">
      <c r="A491" t="s">
        <v>313</v>
      </c>
    </row>
    <row r="492" spans="1:1" x14ac:dyDescent="0.2">
      <c r="A492" t="s">
        <v>314</v>
      </c>
    </row>
    <row r="493" spans="1:1" x14ac:dyDescent="0.2">
      <c r="A493" t="s">
        <v>315</v>
      </c>
    </row>
    <row r="494" spans="1:1" x14ac:dyDescent="0.2">
      <c r="A494" t="s">
        <v>316</v>
      </c>
    </row>
    <row r="496" spans="1:1" x14ac:dyDescent="0.2">
      <c r="A496" t="s">
        <v>275</v>
      </c>
    </row>
    <row r="498" spans="1:1" x14ac:dyDescent="0.2">
      <c r="A498" t="s">
        <v>170</v>
      </c>
    </row>
    <row r="499" spans="1:1" x14ac:dyDescent="0.2">
      <c r="A499" t="s">
        <v>317</v>
      </c>
    </row>
    <row r="500" spans="1:1" x14ac:dyDescent="0.2">
      <c r="A500" t="s">
        <v>311</v>
      </c>
    </row>
    <row r="501" spans="1:1" x14ac:dyDescent="0.2">
      <c r="A501" t="s">
        <v>312</v>
      </c>
    </row>
    <row r="503" spans="1:1" x14ac:dyDescent="0.2">
      <c r="A503" t="s">
        <v>276</v>
      </c>
    </row>
    <row r="505" spans="1:1" x14ac:dyDescent="0.2">
      <c r="A505" t="s">
        <v>318</v>
      </c>
    </row>
    <row r="506" spans="1:1" x14ac:dyDescent="0.2">
      <c r="A506" t="s">
        <v>319</v>
      </c>
    </row>
    <row r="507" spans="1:1" x14ac:dyDescent="0.2">
      <c r="A507" t="s">
        <v>320</v>
      </c>
    </row>
    <row r="508" spans="1:1" x14ac:dyDescent="0.2">
      <c r="A508" t="s">
        <v>321</v>
      </c>
    </row>
    <row r="509" spans="1:1" x14ac:dyDescent="0.2">
      <c r="A509" t="s">
        <v>322</v>
      </c>
    </row>
    <row r="510" spans="1:1" x14ac:dyDescent="0.2">
      <c r="A510" t="s">
        <v>323</v>
      </c>
    </row>
    <row r="511" spans="1:1" x14ac:dyDescent="0.2">
      <c r="A511" t="s">
        <v>324</v>
      </c>
    </row>
    <row r="512" spans="1:1" x14ac:dyDescent="0.2">
      <c r="A512" t="s">
        <v>325</v>
      </c>
    </row>
    <row r="513" spans="1:1" x14ac:dyDescent="0.2">
      <c r="A513" t="s">
        <v>326</v>
      </c>
    </row>
    <row r="514" spans="1:1" x14ac:dyDescent="0.2">
      <c r="A514" t="s">
        <v>327</v>
      </c>
    </row>
    <row r="515" spans="1:1" x14ac:dyDescent="0.2">
      <c r="A515" t="s">
        <v>328</v>
      </c>
    </row>
    <row r="517" spans="1:1" x14ac:dyDescent="0.2">
      <c r="A517" t="s">
        <v>329</v>
      </c>
    </row>
    <row r="519" spans="1:1" x14ac:dyDescent="0.2">
      <c r="A519" t="s">
        <v>330</v>
      </c>
    </row>
    <row r="520" spans="1:1" x14ac:dyDescent="0.2">
      <c r="A520" t="s">
        <v>331</v>
      </c>
    </row>
    <row r="521" spans="1:1" x14ac:dyDescent="0.2">
      <c r="A521" t="s">
        <v>332</v>
      </c>
    </row>
    <row r="522" spans="1:1" x14ac:dyDescent="0.2">
      <c r="A522" t="s">
        <v>333</v>
      </c>
    </row>
    <row r="523" spans="1:1" x14ac:dyDescent="0.2">
      <c r="A523" t="s">
        <v>831</v>
      </c>
    </row>
    <row r="524" spans="1:1" x14ac:dyDescent="0.2">
      <c r="A524" t="s">
        <v>335</v>
      </c>
    </row>
    <row r="525" spans="1:1" x14ac:dyDescent="0.2">
      <c r="A525" t="s">
        <v>336</v>
      </c>
    </row>
    <row r="526" spans="1:1" x14ac:dyDescent="0.2">
      <c r="A526" t="s">
        <v>337</v>
      </c>
    </row>
    <row r="527" spans="1:1" x14ac:dyDescent="0.2">
      <c r="A527" t="s">
        <v>338</v>
      </c>
    </row>
    <row r="528" spans="1:1" x14ac:dyDescent="0.2">
      <c r="A528" t="s">
        <v>339</v>
      </c>
    </row>
    <row r="529" spans="1:1" x14ac:dyDescent="0.2">
      <c r="A529" t="s">
        <v>340</v>
      </c>
    </row>
    <row r="531" spans="1:1" x14ac:dyDescent="0.2">
      <c r="A531" t="s">
        <v>277</v>
      </c>
    </row>
    <row r="533" spans="1:1" x14ac:dyDescent="0.2">
      <c r="A533" t="s">
        <v>170</v>
      </c>
    </row>
    <row r="534" spans="1:1" x14ac:dyDescent="0.2">
      <c r="A534" t="s">
        <v>317</v>
      </c>
    </row>
    <row r="535" spans="1:1" x14ac:dyDescent="0.2">
      <c r="A535" t="s">
        <v>311</v>
      </c>
    </row>
    <row r="536" spans="1:1" x14ac:dyDescent="0.2">
      <c r="A536" t="s">
        <v>312</v>
      </c>
    </row>
    <row r="538" spans="1:1" x14ac:dyDescent="0.2">
      <c r="A538" t="s">
        <v>278</v>
      </c>
    </row>
    <row r="540" spans="1:1" x14ac:dyDescent="0.2">
      <c r="A540" t="s">
        <v>341</v>
      </c>
    </row>
    <row r="541" spans="1:1" x14ac:dyDescent="0.2">
      <c r="A541" t="s">
        <v>342</v>
      </c>
    </row>
    <row r="542" spans="1:1" x14ac:dyDescent="0.2">
      <c r="A542" t="s">
        <v>343</v>
      </c>
    </row>
    <row r="543" spans="1:1" x14ac:dyDescent="0.2">
      <c r="A543" t="s">
        <v>344</v>
      </c>
    </row>
    <row r="544" spans="1:1" x14ac:dyDescent="0.2">
      <c r="A544" t="s">
        <v>345</v>
      </c>
    </row>
    <row r="545" spans="1:1" x14ac:dyDescent="0.2">
      <c r="A545" t="s">
        <v>315</v>
      </c>
    </row>
    <row r="546" spans="1:1" x14ac:dyDescent="0.2">
      <c r="A546" t="s">
        <v>346</v>
      </c>
    </row>
    <row r="547" spans="1:1" x14ac:dyDescent="0.2">
      <c r="A547" t="s">
        <v>347</v>
      </c>
    </row>
    <row r="549" spans="1:1" x14ac:dyDescent="0.2">
      <c r="A549" t="s">
        <v>279</v>
      </c>
    </row>
    <row r="551" spans="1:1" x14ac:dyDescent="0.2">
      <c r="A551" t="s">
        <v>170</v>
      </c>
    </row>
    <row r="552" spans="1:1" x14ac:dyDescent="0.2">
      <c r="A552" t="s">
        <v>317</v>
      </c>
    </row>
    <row r="553" spans="1:1" x14ac:dyDescent="0.2">
      <c r="A553" t="s">
        <v>311</v>
      </c>
    </row>
    <row r="554" spans="1:1" x14ac:dyDescent="0.2">
      <c r="A554" t="s">
        <v>312</v>
      </c>
    </row>
    <row r="556" spans="1:1" x14ac:dyDescent="0.2">
      <c r="A556" t="s">
        <v>280</v>
      </c>
    </row>
    <row r="558" spans="1:1" x14ac:dyDescent="0.2">
      <c r="A558" t="s">
        <v>348</v>
      </c>
    </row>
    <row r="559" spans="1:1" x14ac:dyDescent="0.2">
      <c r="A559" t="s">
        <v>349</v>
      </c>
    </row>
    <row r="560" spans="1:1" x14ac:dyDescent="0.2">
      <c r="A560" t="s">
        <v>350</v>
      </c>
    </row>
    <row r="561" spans="1:1" x14ac:dyDescent="0.2">
      <c r="A561" t="s">
        <v>315</v>
      </c>
    </row>
    <row r="562" spans="1:1" x14ac:dyDescent="0.2">
      <c r="A562" t="s">
        <v>316</v>
      </c>
    </row>
    <row r="564" spans="1:1" x14ac:dyDescent="0.2">
      <c r="A564" t="s">
        <v>281</v>
      </c>
    </row>
    <row r="566" spans="1:1" x14ac:dyDescent="0.2">
      <c r="A566" t="s">
        <v>351</v>
      </c>
    </row>
    <row r="567" spans="1:1" x14ac:dyDescent="0.2">
      <c r="A567" t="s">
        <v>352</v>
      </c>
    </row>
    <row r="568" spans="1:1" x14ac:dyDescent="0.2">
      <c r="A568" t="s">
        <v>353</v>
      </c>
    </row>
    <row r="569" spans="1:1" x14ac:dyDescent="0.2">
      <c r="A569" t="s">
        <v>354</v>
      </c>
    </row>
    <row r="570" spans="1:1" x14ac:dyDescent="0.2">
      <c r="A570" t="s">
        <v>355</v>
      </c>
    </row>
    <row r="571" spans="1:1" x14ac:dyDescent="0.2">
      <c r="A571" t="s">
        <v>356</v>
      </c>
    </row>
    <row r="572" spans="1:1" x14ac:dyDescent="0.2">
      <c r="A572" t="s">
        <v>357</v>
      </c>
    </row>
    <row r="574" spans="1:1" x14ac:dyDescent="0.2">
      <c r="A574" t="s">
        <v>282</v>
      </c>
    </row>
    <row r="576" spans="1:1" x14ac:dyDescent="0.2">
      <c r="A576" t="s">
        <v>358</v>
      </c>
    </row>
    <row r="577" spans="1:1" x14ac:dyDescent="0.2">
      <c r="A577" t="s">
        <v>359</v>
      </c>
    </row>
    <row r="578" spans="1:1" x14ac:dyDescent="0.2">
      <c r="A578" t="s">
        <v>360</v>
      </c>
    </row>
    <row r="579" spans="1:1" x14ac:dyDescent="0.2">
      <c r="A579" t="s">
        <v>361</v>
      </c>
    </row>
    <row r="580" spans="1:1" x14ac:dyDescent="0.2">
      <c r="A580" t="s">
        <v>362</v>
      </c>
    </row>
    <row r="581" spans="1:1" x14ac:dyDescent="0.2">
      <c r="A581" t="s">
        <v>363</v>
      </c>
    </row>
    <row r="582" spans="1:1" x14ac:dyDescent="0.2">
      <c r="A582" t="s">
        <v>364</v>
      </c>
    </row>
    <row r="583" spans="1:1" x14ac:dyDescent="0.2">
      <c r="A583" t="s">
        <v>365</v>
      </c>
    </row>
    <row r="585" spans="1:1" x14ac:dyDescent="0.2">
      <c r="A585" t="s">
        <v>283</v>
      </c>
    </row>
    <row r="588" spans="1:1" x14ac:dyDescent="0.2">
      <c r="A588" t="s">
        <v>170</v>
      </c>
    </row>
    <row r="589" spans="1:1" x14ac:dyDescent="0.2">
      <c r="A589" t="s">
        <v>317</v>
      </c>
    </row>
    <row r="590" spans="1:1" x14ac:dyDescent="0.2">
      <c r="A590" t="s">
        <v>366</v>
      </c>
    </row>
    <row r="591" spans="1:1" x14ac:dyDescent="0.2">
      <c r="A591" t="s">
        <v>367</v>
      </c>
    </row>
    <row r="592" spans="1:1" x14ac:dyDescent="0.2">
      <c r="A592" t="s">
        <v>312</v>
      </c>
    </row>
    <row r="595" spans="1:1" x14ac:dyDescent="0.2">
      <c r="A595" t="s">
        <v>284</v>
      </c>
    </row>
    <row r="597" spans="1:1" x14ac:dyDescent="0.2">
      <c r="A597" t="s">
        <v>368</v>
      </c>
    </row>
    <row r="598" spans="1:1" x14ac:dyDescent="0.2">
      <c r="A598" t="s">
        <v>369</v>
      </c>
    </row>
    <row r="599" spans="1:1" x14ac:dyDescent="0.2">
      <c r="A599" t="s">
        <v>370</v>
      </c>
    </row>
    <row r="601" spans="1:1" x14ac:dyDescent="0.2">
      <c r="A601" t="s">
        <v>285</v>
      </c>
    </row>
    <row r="603" spans="1:1" x14ac:dyDescent="0.2">
      <c r="A603" t="s">
        <v>371</v>
      </c>
    </row>
    <row r="604" spans="1:1" x14ac:dyDescent="0.2">
      <c r="A604" t="s">
        <v>372</v>
      </c>
    </row>
    <row r="605" spans="1:1" x14ac:dyDescent="0.2">
      <c r="A605" t="s">
        <v>373</v>
      </c>
    </row>
    <row r="606" spans="1:1" x14ac:dyDescent="0.2">
      <c r="A606" t="s">
        <v>374</v>
      </c>
    </row>
    <row r="607" spans="1:1" x14ac:dyDescent="0.2">
      <c r="A607" t="s">
        <v>375</v>
      </c>
    </row>
    <row r="608" spans="1:1" x14ac:dyDescent="0.2">
      <c r="A608" t="s">
        <v>376</v>
      </c>
    </row>
    <row r="609" spans="1:1" x14ac:dyDescent="0.2">
      <c r="A609" t="s">
        <v>316</v>
      </c>
    </row>
    <row r="611" spans="1:1" x14ac:dyDescent="0.2">
      <c r="A611" t="s">
        <v>286</v>
      </c>
    </row>
    <row r="613" spans="1:1" x14ac:dyDescent="0.2">
      <c r="A613" t="s">
        <v>377</v>
      </c>
    </row>
    <row r="614" spans="1:1" x14ac:dyDescent="0.2">
      <c r="A614" t="s">
        <v>378</v>
      </c>
    </row>
    <row r="615" spans="1:1" x14ac:dyDescent="0.2">
      <c r="A615" t="s">
        <v>379</v>
      </c>
    </row>
    <row r="616" spans="1:1" x14ac:dyDescent="0.2">
      <c r="A616" t="s">
        <v>380</v>
      </c>
    </row>
    <row r="617" spans="1:1" x14ac:dyDescent="0.2">
      <c r="A617" t="s">
        <v>381</v>
      </c>
    </row>
    <row r="618" spans="1:1" x14ac:dyDescent="0.2">
      <c r="A618" t="s">
        <v>315</v>
      </c>
    </row>
    <row r="619" spans="1:1" x14ac:dyDescent="0.2">
      <c r="A619" t="s">
        <v>376</v>
      </c>
    </row>
    <row r="621" spans="1:1" x14ac:dyDescent="0.2">
      <c r="A621" t="s">
        <v>287</v>
      </c>
    </row>
    <row r="623" spans="1:1" x14ac:dyDescent="0.2">
      <c r="A623" t="s">
        <v>382</v>
      </c>
    </row>
    <row r="624" spans="1:1" x14ac:dyDescent="0.2">
      <c r="A624" t="s">
        <v>383</v>
      </c>
    </row>
    <row r="625" spans="1:1" x14ac:dyDescent="0.2">
      <c r="A625" t="s">
        <v>384</v>
      </c>
    </row>
    <row r="626" spans="1:1" x14ac:dyDescent="0.2">
      <c r="A626" t="s">
        <v>385</v>
      </c>
    </row>
    <row r="627" spans="1:1" x14ac:dyDescent="0.2">
      <c r="A627" t="s">
        <v>386</v>
      </c>
    </row>
    <row r="628" spans="1:1" x14ac:dyDescent="0.2">
      <c r="A628" t="s">
        <v>387</v>
      </c>
    </row>
    <row r="629" spans="1:1" x14ac:dyDescent="0.2">
      <c r="A629" t="s">
        <v>388</v>
      </c>
    </row>
    <row r="631" spans="1:1" x14ac:dyDescent="0.2">
      <c r="A631" t="s">
        <v>288</v>
      </c>
    </row>
    <row r="633" spans="1:1" x14ac:dyDescent="0.2">
      <c r="A633" t="s">
        <v>389</v>
      </c>
    </row>
    <row r="634" spans="1:1" x14ac:dyDescent="0.2">
      <c r="A634" t="s">
        <v>390</v>
      </c>
    </row>
    <row r="635" spans="1:1" x14ac:dyDescent="0.2">
      <c r="A635" t="s">
        <v>391</v>
      </c>
    </row>
    <row r="636" spans="1:1" x14ac:dyDescent="0.2">
      <c r="A636" t="s">
        <v>355</v>
      </c>
    </row>
    <row r="637" spans="1:1" x14ac:dyDescent="0.2">
      <c r="A637" t="s">
        <v>356</v>
      </c>
    </row>
    <row r="638" spans="1:1" x14ac:dyDescent="0.2">
      <c r="A638" t="s">
        <v>357</v>
      </c>
    </row>
    <row r="640" spans="1:1" x14ac:dyDescent="0.2">
      <c r="A640" t="s">
        <v>289</v>
      </c>
    </row>
    <row r="642" spans="1:1" x14ac:dyDescent="0.2">
      <c r="A642" t="s">
        <v>392</v>
      </c>
    </row>
    <row r="643" spans="1:1" x14ac:dyDescent="0.2">
      <c r="A643" t="s">
        <v>393</v>
      </c>
    </row>
    <row r="644" spans="1:1" x14ac:dyDescent="0.2">
      <c r="A644" t="s">
        <v>394</v>
      </c>
    </row>
    <row r="645" spans="1:1" x14ac:dyDescent="0.2">
      <c r="A645" t="s">
        <v>395</v>
      </c>
    </row>
    <row r="646" spans="1:1" x14ac:dyDescent="0.2">
      <c r="A646" t="s">
        <v>396</v>
      </c>
    </row>
    <row r="647" spans="1:1" x14ac:dyDescent="0.2">
      <c r="A647" t="s">
        <v>363</v>
      </c>
    </row>
    <row r="648" spans="1:1" x14ac:dyDescent="0.2">
      <c r="A648" t="s">
        <v>355</v>
      </c>
    </row>
    <row r="649" spans="1:1" x14ac:dyDescent="0.2">
      <c r="A649" t="s">
        <v>356</v>
      </c>
    </row>
    <row r="650" spans="1:1" x14ac:dyDescent="0.2">
      <c r="A650" t="s">
        <v>328</v>
      </c>
    </row>
    <row r="653" spans="1:1" x14ac:dyDescent="0.2">
      <c r="A653" t="s">
        <v>290</v>
      </c>
    </row>
    <row r="654" spans="1:1" x14ac:dyDescent="0.2">
      <c r="A654" t="s">
        <v>397</v>
      </c>
    </row>
    <row r="655" spans="1:1" x14ac:dyDescent="0.2">
      <c r="A655" t="s">
        <v>398</v>
      </c>
    </row>
    <row r="656" spans="1:1" x14ac:dyDescent="0.2">
      <c r="A656" t="s">
        <v>399</v>
      </c>
    </row>
    <row r="658" spans="1:1" x14ac:dyDescent="0.2">
      <c r="A658" t="s">
        <v>291</v>
      </c>
    </row>
    <row r="660" spans="1:1" x14ac:dyDescent="0.2">
      <c r="A660" t="s">
        <v>368</v>
      </c>
    </row>
    <row r="661" spans="1:1" x14ac:dyDescent="0.2">
      <c r="A661" t="s">
        <v>400</v>
      </c>
    </row>
    <row r="662" spans="1:1" x14ac:dyDescent="0.2">
      <c r="A662" t="s">
        <v>401</v>
      </c>
    </row>
    <row r="663" spans="1:1" x14ac:dyDescent="0.2">
      <c r="A663" t="s">
        <v>402</v>
      </c>
    </row>
    <row r="664" spans="1:1" x14ac:dyDescent="0.2">
      <c r="A664" t="s">
        <v>403</v>
      </c>
    </row>
    <row r="665" spans="1:1" x14ac:dyDescent="0.2">
      <c r="A665" t="s">
        <v>404</v>
      </c>
    </row>
    <row r="666" spans="1:1" x14ac:dyDescent="0.2">
      <c r="A666" t="s">
        <v>356</v>
      </c>
    </row>
    <row r="668" spans="1:1" x14ac:dyDescent="0.2">
      <c r="A668" t="s">
        <v>292</v>
      </c>
    </row>
    <row r="670" spans="1:1" x14ac:dyDescent="0.2">
      <c r="A670" t="s">
        <v>405</v>
      </c>
    </row>
    <row r="671" spans="1:1" x14ac:dyDescent="0.2">
      <c r="A671" t="s">
        <v>406</v>
      </c>
    </row>
    <row r="672" spans="1:1" x14ac:dyDescent="0.2">
      <c r="A672" t="s">
        <v>384</v>
      </c>
    </row>
    <row r="673" spans="1:1" x14ac:dyDescent="0.2">
      <c r="A673" t="s">
        <v>385</v>
      </c>
    </row>
    <row r="674" spans="1:1" x14ac:dyDescent="0.2">
      <c r="A674" t="s">
        <v>407</v>
      </c>
    </row>
    <row r="675" spans="1:1" x14ac:dyDescent="0.2">
      <c r="A675" t="s">
        <v>408</v>
      </c>
    </row>
    <row r="676" spans="1:1" x14ac:dyDescent="0.2">
      <c r="A676" t="s">
        <v>409</v>
      </c>
    </row>
    <row r="678" spans="1:1" x14ac:dyDescent="0.2">
      <c r="A678" t="s">
        <v>293</v>
      </c>
    </row>
    <row r="680" spans="1:1" x14ac:dyDescent="0.2">
      <c r="A680" t="s">
        <v>410</v>
      </c>
    </row>
    <row r="681" spans="1:1" x14ac:dyDescent="0.2">
      <c r="A681" t="s">
        <v>411</v>
      </c>
    </row>
    <row r="682" spans="1:1" x14ac:dyDescent="0.2">
      <c r="A682" t="s">
        <v>412</v>
      </c>
    </row>
    <row r="683" spans="1:1" x14ac:dyDescent="0.2">
      <c r="A683" t="s">
        <v>413</v>
      </c>
    </row>
    <row r="684" spans="1:1" x14ac:dyDescent="0.2">
      <c r="A684" t="s">
        <v>414</v>
      </c>
    </row>
    <row r="685" spans="1:1" x14ac:dyDescent="0.2">
      <c r="A685" t="s">
        <v>415</v>
      </c>
    </row>
    <row r="686" spans="1:1" x14ac:dyDescent="0.2">
      <c r="A686" t="s">
        <v>355</v>
      </c>
    </row>
    <row r="687" spans="1:1" x14ac:dyDescent="0.2">
      <c r="A687" t="s">
        <v>328</v>
      </c>
    </row>
    <row r="689" spans="1:1" x14ac:dyDescent="0.2">
      <c r="A689" t="s">
        <v>294</v>
      </c>
    </row>
    <row r="690" spans="1:1" x14ac:dyDescent="0.2">
      <c r="A690" t="s">
        <v>377</v>
      </c>
    </row>
    <row r="691" spans="1:1" x14ac:dyDescent="0.2">
      <c r="A691" t="s">
        <v>416</v>
      </c>
    </row>
    <row r="692" spans="1:1" x14ac:dyDescent="0.2">
      <c r="A692" t="s">
        <v>339</v>
      </c>
    </row>
    <row r="693" spans="1:1" x14ac:dyDescent="0.2">
      <c r="A693" t="s">
        <v>417</v>
      </c>
    </row>
    <row r="696" spans="1:1" x14ac:dyDescent="0.2">
      <c r="A696" t="s">
        <v>295</v>
      </c>
    </row>
    <row r="698" spans="1:1" x14ac:dyDescent="0.2">
      <c r="A698" t="s">
        <v>418</v>
      </c>
    </row>
    <row r="699" spans="1:1" x14ac:dyDescent="0.2">
      <c r="A699" t="s">
        <v>419</v>
      </c>
    </row>
    <row r="700" spans="1:1" x14ac:dyDescent="0.2">
      <c r="A700" t="s">
        <v>420</v>
      </c>
    </row>
    <row r="701" spans="1:1" x14ac:dyDescent="0.2">
      <c r="A701" t="s">
        <v>355</v>
      </c>
    </row>
    <row r="702" spans="1:1" x14ac:dyDescent="0.2">
      <c r="A702" t="s">
        <v>356</v>
      </c>
    </row>
    <row r="703" spans="1:1" x14ac:dyDescent="0.2">
      <c r="A703" t="s">
        <v>328</v>
      </c>
    </row>
    <row r="706" spans="1:1" x14ac:dyDescent="0.2">
      <c r="A706" t="s">
        <v>296</v>
      </c>
    </row>
    <row r="708" spans="1:1" x14ac:dyDescent="0.2">
      <c r="A708" t="s">
        <v>421</v>
      </c>
    </row>
    <row r="709" spans="1:1" x14ac:dyDescent="0.2">
      <c r="A709" t="s">
        <v>422</v>
      </c>
    </row>
    <row r="710" spans="1:1" x14ac:dyDescent="0.2">
      <c r="A710" t="s">
        <v>423</v>
      </c>
    </row>
    <row r="711" spans="1:1" x14ac:dyDescent="0.2">
      <c r="A711" t="s">
        <v>355</v>
      </c>
    </row>
    <row r="712" spans="1:1" x14ac:dyDescent="0.2">
      <c r="A712" t="s">
        <v>356</v>
      </c>
    </row>
    <row r="713" spans="1:1" x14ac:dyDescent="0.2">
      <c r="A713" t="s">
        <v>328</v>
      </c>
    </row>
    <row r="715" spans="1:1" x14ac:dyDescent="0.2">
      <c r="A715" t="s">
        <v>297</v>
      </c>
    </row>
    <row r="717" spans="1:1" x14ac:dyDescent="0.2">
      <c r="A717" t="s">
        <v>377</v>
      </c>
    </row>
    <row r="718" spans="1:1" x14ac:dyDescent="0.2">
      <c r="A718" t="s">
        <v>416</v>
      </c>
    </row>
    <row r="719" spans="1:1" x14ac:dyDescent="0.2">
      <c r="A719" t="s">
        <v>424</v>
      </c>
    </row>
    <row r="721" spans="1:1" x14ac:dyDescent="0.2">
      <c r="A721" t="s">
        <v>425</v>
      </c>
    </row>
    <row r="722" spans="1:1" x14ac:dyDescent="0.2">
      <c r="A722" t="s">
        <v>426</v>
      </c>
    </row>
    <row r="723" spans="1:1" x14ac:dyDescent="0.2">
      <c r="A723" t="s">
        <v>427</v>
      </c>
    </row>
    <row r="724" spans="1:1" x14ac:dyDescent="0.2">
      <c r="A724" t="s">
        <v>428</v>
      </c>
    </row>
    <row r="725" spans="1:1" x14ac:dyDescent="0.2">
      <c r="A725" t="s">
        <v>429</v>
      </c>
    </row>
    <row r="726" spans="1:1" x14ac:dyDescent="0.2">
      <c r="A726" t="s">
        <v>430</v>
      </c>
    </row>
    <row r="727" spans="1:1" x14ac:dyDescent="0.2">
      <c r="A727" t="s">
        <v>431</v>
      </c>
    </row>
    <row r="728" spans="1:1" x14ac:dyDescent="0.2">
      <c r="A728" t="s">
        <v>432</v>
      </c>
    </row>
    <row r="729" spans="1:1" x14ac:dyDescent="0.2">
      <c r="A729" t="s">
        <v>433</v>
      </c>
    </row>
    <row r="730" spans="1:1" x14ac:dyDescent="0.2">
      <c r="A730" t="s">
        <v>434</v>
      </c>
    </row>
    <row r="731" spans="1:1" x14ac:dyDescent="0.2">
      <c r="A731" t="s">
        <v>435</v>
      </c>
    </row>
    <row r="735" spans="1:1" x14ac:dyDescent="0.2">
      <c r="A735" t="s">
        <v>436</v>
      </c>
    </row>
    <row r="737" spans="1:1" x14ac:dyDescent="0.2">
      <c r="A737" t="s">
        <v>437</v>
      </c>
    </row>
    <row r="738" spans="1:1" x14ac:dyDescent="0.2">
      <c r="A738" t="s">
        <v>438</v>
      </c>
    </row>
    <row r="739" spans="1:1" x14ac:dyDescent="0.2">
      <c r="A739" t="s">
        <v>439</v>
      </c>
    </row>
    <row r="740" spans="1:1" x14ac:dyDescent="0.2">
      <c r="A740" t="s">
        <v>440</v>
      </c>
    </row>
    <row r="741" spans="1:1" x14ac:dyDescent="0.2">
      <c r="A741" t="s">
        <v>441</v>
      </c>
    </row>
    <row r="742" spans="1:1" x14ac:dyDescent="0.2">
      <c r="A742" t="s">
        <v>442</v>
      </c>
    </row>
    <row r="743" spans="1:1" x14ac:dyDescent="0.2">
      <c r="A743" t="s">
        <v>328</v>
      </c>
    </row>
    <row r="745" spans="1:1" x14ac:dyDescent="0.2">
      <c r="A745" t="s">
        <v>443</v>
      </c>
    </row>
    <row r="747" spans="1:1" x14ac:dyDescent="0.2">
      <c r="A747" t="s">
        <v>377</v>
      </c>
    </row>
    <row r="748" spans="1:1" x14ac:dyDescent="0.2">
      <c r="A748" t="s">
        <v>416</v>
      </c>
    </row>
    <row r="749" spans="1:1" x14ac:dyDescent="0.2">
      <c r="A749" t="s">
        <v>424</v>
      </c>
    </row>
    <row r="752" spans="1:1" x14ac:dyDescent="0.2">
      <c r="A752" t="s">
        <v>299</v>
      </c>
    </row>
    <row r="755" spans="1:1" x14ac:dyDescent="0.2">
      <c r="A755" t="s">
        <v>444</v>
      </c>
    </row>
    <row r="756" spans="1:1" x14ac:dyDescent="0.2">
      <c r="A756" t="s">
        <v>445</v>
      </c>
    </row>
    <row r="757" spans="1:1" x14ac:dyDescent="0.2">
      <c r="A757" t="s">
        <v>298</v>
      </c>
    </row>
    <row r="758" spans="1:1" x14ac:dyDescent="0.2">
      <c r="A758" t="s">
        <v>446</v>
      </c>
    </row>
    <row r="759" spans="1:1" x14ac:dyDescent="0.2">
      <c r="A759" t="s">
        <v>447</v>
      </c>
    </row>
    <row r="761" spans="1:1" x14ac:dyDescent="0.2">
      <c r="A761" t="s">
        <v>301</v>
      </c>
    </row>
    <row r="763" spans="1:1" x14ac:dyDescent="0.2">
      <c r="A763" t="s">
        <v>448</v>
      </c>
    </row>
    <row r="764" spans="1:1" x14ac:dyDescent="0.2">
      <c r="A764" t="s">
        <v>449</v>
      </c>
    </row>
    <row r="765" spans="1:1" x14ac:dyDescent="0.2">
      <c r="A765" t="s">
        <v>450</v>
      </c>
    </row>
    <row r="766" spans="1:1" x14ac:dyDescent="0.2">
      <c r="A766" t="s">
        <v>451</v>
      </c>
    </row>
    <row r="767" spans="1:1" x14ac:dyDescent="0.2">
      <c r="A767" t="s">
        <v>452</v>
      </c>
    </row>
    <row r="768" spans="1:1" x14ac:dyDescent="0.2">
      <c r="A768" t="s">
        <v>453</v>
      </c>
    </row>
    <row r="769" spans="1:1" x14ac:dyDescent="0.2">
      <c r="A769" t="s">
        <v>454</v>
      </c>
    </row>
    <row r="770" spans="1:1" x14ac:dyDescent="0.2">
      <c r="A770" t="s">
        <v>455</v>
      </c>
    </row>
    <row r="771" spans="1:1" x14ac:dyDescent="0.2">
      <c r="A771" t="s">
        <v>456</v>
      </c>
    </row>
    <row r="772" spans="1:1" x14ac:dyDescent="0.2">
      <c r="A772" t="s">
        <v>457</v>
      </c>
    </row>
    <row r="775" spans="1:1" x14ac:dyDescent="0.2">
      <c r="A775" t="s">
        <v>302</v>
      </c>
    </row>
    <row r="777" spans="1:1" x14ac:dyDescent="0.2">
      <c r="A777" t="s">
        <v>377</v>
      </c>
    </row>
    <row r="778" spans="1:1" x14ac:dyDescent="0.2">
      <c r="A778" t="s">
        <v>416</v>
      </c>
    </row>
    <row r="779" spans="1:1" x14ac:dyDescent="0.2">
      <c r="A779" t="s">
        <v>458</v>
      </c>
    </row>
    <row r="780" spans="1:1" x14ac:dyDescent="0.2">
      <c r="A780" t="s">
        <v>355</v>
      </c>
    </row>
    <row r="781" spans="1:1" x14ac:dyDescent="0.2">
      <c r="A781" t="s">
        <v>356</v>
      </c>
    </row>
    <row r="783" spans="1:1" x14ac:dyDescent="0.2">
      <c r="A783" t="s">
        <v>303</v>
      </c>
    </row>
    <row r="785" spans="1:1" x14ac:dyDescent="0.2">
      <c r="A785" t="s">
        <v>377</v>
      </c>
    </row>
    <row r="786" spans="1:1" x14ac:dyDescent="0.2">
      <c r="A786" t="s">
        <v>416</v>
      </c>
    </row>
    <row r="787" spans="1:1" x14ac:dyDescent="0.2">
      <c r="A787" t="s">
        <v>458</v>
      </c>
    </row>
    <row r="788" spans="1:1" x14ac:dyDescent="0.2">
      <c r="A788" t="s">
        <v>355</v>
      </c>
    </row>
    <row r="789" spans="1:1" x14ac:dyDescent="0.2">
      <c r="A789" t="s">
        <v>356</v>
      </c>
    </row>
    <row r="792" spans="1:1" x14ac:dyDescent="0.2">
      <c r="A792" t="s">
        <v>304</v>
      </c>
    </row>
    <row r="794" spans="1:1" x14ac:dyDescent="0.2">
      <c r="A794" t="s">
        <v>377</v>
      </c>
    </row>
    <row r="795" spans="1:1" x14ac:dyDescent="0.2">
      <c r="A795" t="s">
        <v>416</v>
      </c>
    </row>
    <row r="796" spans="1:1" x14ac:dyDescent="0.2">
      <c r="A796" t="s">
        <v>458</v>
      </c>
    </row>
    <row r="797" spans="1:1" x14ac:dyDescent="0.2">
      <c r="A797" t="s">
        <v>355</v>
      </c>
    </row>
    <row r="798" spans="1:1" x14ac:dyDescent="0.2">
      <c r="A798" t="s">
        <v>356</v>
      </c>
    </row>
    <row r="799" spans="1:1" x14ac:dyDescent="0.2">
      <c r="A799" t="s">
        <v>357</v>
      </c>
    </row>
    <row r="802" spans="1:1" x14ac:dyDescent="0.2">
      <c r="A802" t="s">
        <v>305</v>
      </c>
    </row>
    <row r="803" spans="1:1" x14ac:dyDescent="0.2">
      <c r="A803" t="s">
        <v>305</v>
      </c>
    </row>
    <row r="805" spans="1:1" x14ac:dyDescent="0.2">
      <c r="A805" t="s">
        <v>459</v>
      </c>
    </row>
    <row r="806" spans="1:1" x14ac:dyDescent="0.2">
      <c r="A806" t="s">
        <v>460</v>
      </c>
    </row>
    <row r="807" spans="1:1" x14ac:dyDescent="0.2">
      <c r="A807" t="s">
        <v>461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46"/>
  <sheetViews>
    <sheetView tabSelected="1" zoomScale="85" zoomScaleNormal="85" zoomScalePageLayoutView="85" workbookViewId="0">
      <pane ySplit="1" topLeftCell="A2" activePane="bottomLeft" state="frozen"/>
      <selection pane="bottomLeft" activeCell="U4" sqref="U4"/>
    </sheetView>
  </sheetViews>
  <sheetFormatPr baseColWidth="10" defaultRowHeight="16" x14ac:dyDescent="0.2"/>
  <cols>
    <col min="4" max="4" width="15.1640625" customWidth="1"/>
    <col min="7" max="7" width="18.33203125" customWidth="1"/>
    <col min="8" max="8" width="20.1640625" customWidth="1"/>
    <col min="9" max="11" width="13.83203125" customWidth="1"/>
    <col min="12" max="12" width="41.1640625" customWidth="1"/>
    <col min="18" max="18" width="17.1640625" customWidth="1"/>
    <col min="19" max="19" width="21.1640625" customWidth="1"/>
    <col min="21" max="21" width="18.6640625" customWidth="1"/>
    <col min="22" max="22" width="10.33203125" customWidth="1"/>
    <col min="23" max="23" width="10.1640625" customWidth="1"/>
    <col min="29" max="29" width="9.33203125" customWidth="1"/>
    <col min="30" max="30" width="9" customWidth="1"/>
    <col min="31" max="31" width="8.83203125" customWidth="1"/>
    <col min="32" max="32" width="9.1640625" customWidth="1"/>
    <col min="33" max="34" width="9.33203125" customWidth="1"/>
    <col min="35" max="35" width="10.33203125" customWidth="1"/>
    <col min="36" max="37" width="9.83203125" customWidth="1"/>
    <col min="38" max="38" width="8.33203125" customWidth="1"/>
    <col min="39" max="39" width="9.33203125" customWidth="1"/>
    <col min="40" max="40" width="10.1640625" customWidth="1"/>
    <col min="41" max="42" width="9.33203125" customWidth="1"/>
  </cols>
  <sheetData>
    <row r="1" spans="1:47" ht="80" x14ac:dyDescent="0.2">
      <c r="A1" s="62" t="s">
        <v>139</v>
      </c>
      <c r="B1" s="2" t="s">
        <v>140</v>
      </c>
      <c r="C1" s="3" t="s">
        <v>135</v>
      </c>
      <c r="D1" s="3" t="s">
        <v>141</v>
      </c>
      <c r="E1" s="3" t="s">
        <v>136</v>
      </c>
      <c r="F1" s="3" t="s">
        <v>142</v>
      </c>
      <c r="G1" s="63" t="s">
        <v>214</v>
      </c>
      <c r="H1" s="63" t="s">
        <v>143</v>
      </c>
      <c r="I1" s="63" t="s">
        <v>144</v>
      </c>
      <c r="J1" s="63" t="s">
        <v>215</v>
      </c>
      <c r="K1" s="63" t="s">
        <v>221</v>
      </c>
      <c r="L1" s="63" t="s">
        <v>145</v>
      </c>
      <c r="M1" s="63" t="s">
        <v>146</v>
      </c>
      <c r="N1" s="63" t="s">
        <v>147</v>
      </c>
      <c r="O1" s="63" t="s">
        <v>148</v>
      </c>
      <c r="P1" s="63" t="s">
        <v>224</v>
      </c>
      <c r="Q1" s="63" t="s">
        <v>225</v>
      </c>
      <c r="R1" s="63" t="s">
        <v>149</v>
      </c>
      <c r="S1" s="63" t="s">
        <v>200</v>
      </c>
      <c r="T1" s="63" t="s">
        <v>150</v>
      </c>
      <c r="U1" s="63" t="s">
        <v>226</v>
      </c>
      <c r="V1" s="63" t="s">
        <v>186</v>
      </c>
      <c r="W1" s="63" t="s">
        <v>187</v>
      </c>
      <c r="X1" s="63" t="s">
        <v>188</v>
      </c>
      <c r="Y1" s="63" t="s">
        <v>192</v>
      </c>
      <c r="Z1" s="63" t="s">
        <v>193</v>
      </c>
      <c r="AA1" s="63" t="s">
        <v>194</v>
      </c>
      <c r="AB1" s="63" t="s">
        <v>195</v>
      </c>
      <c r="AC1" s="63" t="s">
        <v>189</v>
      </c>
      <c r="AD1" s="63" t="s">
        <v>190</v>
      </c>
      <c r="AE1" s="63" t="s">
        <v>191</v>
      </c>
      <c r="AF1" s="63" t="s">
        <v>196</v>
      </c>
      <c r="AG1" s="63" t="s">
        <v>197</v>
      </c>
      <c r="AH1" s="63" t="s">
        <v>198</v>
      </c>
      <c r="AI1" s="63" t="s">
        <v>199</v>
      </c>
      <c r="AJ1" s="63" t="s">
        <v>201</v>
      </c>
      <c r="AK1" s="63" t="s">
        <v>210</v>
      </c>
      <c r="AL1" s="63" t="s">
        <v>208</v>
      </c>
      <c r="AM1" s="63" t="s">
        <v>209</v>
      </c>
      <c r="AN1" s="63" t="s">
        <v>211</v>
      </c>
      <c r="AO1" s="63" t="s">
        <v>212</v>
      </c>
      <c r="AP1" s="63" t="s">
        <v>213</v>
      </c>
      <c r="AQ1" s="63" t="s">
        <v>151</v>
      </c>
      <c r="AR1" s="63" t="s">
        <v>152</v>
      </c>
      <c r="AS1" s="63" t="s">
        <v>153</v>
      </c>
      <c r="AT1" s="9" t="s">
        <v>850</v>
      </c>
      <c r="AU1" s="9" t="s">
        <v>851</v>
      </c>
    </row>
    <row r="2" spans="1:47" s="61" customFormat="1" ht="14" x14ac:dyDescent="0.2">
      <c r="A2" s="73">
        <v>13418774</v>
      </c>
      <c r="B2" s="74">
        <v>34858</v>
      </c>
      <c r="C2" s="73">
        <v>0</v>
      </c>
      <c r="D2" s="64">
        <v>43609.461805555598</v>
      </c>
      <c r="E2" s="73">
        <v>0</v>
      </c>
      <c r="F2" s="73">
        <v>13464683</v>
      </c>
      <c r="G2" s="69"/>
      <c r="H2" s="75" t="s">
        <v>43</v>
      </c>
      <c r="I2" s="65">
        <v>43221</v>
      </c>
      <c r="J2" s="66">
        <v>1</v>
      </c>
      <c r="K2" s="66">
        <v>3</v>
      </c>
      <c r="L2" s="68" t="s">
        <v>223</v>
      </c>
      <c r="M2" s="67">
        <v>0</v>
      </c>
      <c r="N2" s="67">
        <v>0</v>
      </c>
      <c r="O2" s="67">
        <v>0</v>
      </c>
      <c r="P2" s="67">
        <v>18</v>
      </c>
      <c r="Q2" s="67">
        <v>0</v>
      </c>
      <c r="R2" s="67">
        <v>1</v>
      </c>
      <c r="S2" s="68" t="s">
        <v>44</v>
      </c>
      <c r="T2" s="67">
        <v>1</v>
      </c>
      <c r="U2" s="68" t="s">
        <v>45</v>
      </c>
      <c r="V2" s="67"/>
      <c r="W2" s="67"/>
      <c r="X2" s="67">
        <v>5.79</v>
      </c>
      <c r="Y2" s="67">
        <v>2.29</v>
      </c>
      <c r="Z2" s="67">
        <v>2.93</v>
      </c>
      <c r="AA2" s="67">
        <v>2.95</v>
      </c>
      <c r="AB2" s="67">
        <v>2.68</v>
      </c>
      <c r="AC2" s="67"/>
      <c r="AD2" s="67"/>
      <c r="AE2" s="67"/>
      <c r="AF2" s="67">
        <v>0.15</v>
      </c>
      <c r="AG2" s="67">
        <v>0.34</v>
      </c>
      <c r="AH2" s="67">
        <v>0.17</v>
      </c>
      <c r="AI2" s="67">
        <v>0.44</v>
      </c>
      <c r="AJ2" s="67">
        <v>1</v>
      </c>
      <c r="AK2" s="67">
        <v>5.8</v>
      </c>
      <c r="AL2" s="67">
        <v>9</v>
      </c>
      <c r="AM2" s="67">
        <v>9.5</v>
      </c>
      <c r="AN2" s="67"/>
      <c r="AO2" s="67"/>
      <c r="AP2" s="67"/>
      <c r="AQ2" s="67">
        <v>1</v>
      </c>
      <c r="AR2" s="67">
        <v>1</v>
      </c>
      <c r="AS2" s="67">
        <v>0</v>
      </c>
      <c r="AT2" s="71"/>
      <c r="AU2" s="71"/>
    </row>
    <row r="3" spans="1:47" s="61" customFormat="1" ht="14" x14ac:dyDescent="0.2">
      <c r="A3" s="73">
        <v>13450775</v>
      </c>
      <c r="B3" s="74">
        <v>27788</v>
      </c>
      <c r="C3" s="73">
        <v>0</v>
      </c>
      <c r="D3" s="64">
        <v>43609.333333333299</v>
      </c>
      <c r="E3" s="73">
        <v>1</v>
      </c>
      <c r="F3" s="73">
        <v>13464683</v>
      </c>
      <c r="G3" s="69"/>
      <c r="H3" s="75" t="s">
        <v>46</v>
      </c>
      <c r="I3" s="65">
        <v>42125</v>
      </c>
      <c r="J3" s="69">
        <v>1</v>
      </c>
      <c r="K3" s="69">
        <v>3</v>
      </c>
      <c r="L3" s="68" t="s">
        <v>47</v>
      </c>
      <c r="M3" s="67">
        <v>0</v>
      </c>
      <c r="N3" s="67">
        <v>0</v>
      </c>
      <c r="O3" s="67">
        <v>1</v>
      </c>
      <c r="P3" s="67">
        <v>21</v>
      </c>
      <c r="Q3" s="67">
        <v>5</v>
      </c>
      <c r="R3" s="67">
        <v>1</v>
      </c>
      <c r="S3" s="68" t="s">
        <v>48</v>
      </c>
      <c r="T3" s="67">
        <v>0</v>
      </c>
      <c r="U3" s="68" t="s">
        <v>49</v>
      </c>
      <c r="V3" s="67"/>
      <c r="W3" s="67"/>
      <c r="X3" s="67"/>
      <c r="Y3" s="67">
        <v>3.43</v>
      </c>
      <c r="Z3" s="67">
        <v>3.49</v>
      </c>
      <c r="AA3" s="67">
        <v>3.49</v>
      </c>
      <c r="AB3" s="67">
        <v>2.84</v>
      </c>
      <c r="AC3" s="67"/>
      <c r="AD3" s="67"/>
      <c r="AE3" s="67"/>
      <c r="AF3" s="67">
        <v>0.27</v>
      </c>
      <c r="AG3" s="67">
        <v>0.15</v>
      </c>
      <c r="AH3" s="67">
        <v>0.19</v>
      </c>
      <c r="AI3" s="67">
        <v>0.14000000000000001</v>
      </c>
      <c r="AJ3" s="67">
        <v>1</v>
      </c>
      <c r="AK3" s="67">
        <v>21</v>
      </c>
      <c r="AL3" s="67">
        <v>10.5</v>
      </c>
      <c r="AM3" s="67">
        <v>10.9</v>
      </c>
      <c r="AN3" s="67"/>
      <c r="AO3" s="67"/>
      <c r="AP3" s="67"/>
      <c r="AQ3" s="67">
        <v>1</v>
      </c>
      <c r="AR3" s="67">
        <v>1</v>
      </c>
      <c r="AS3" s="67">
        <v>0</v>
      </c>
      <c r="AT3" s="71"/>
      <c r="AU3" s="71"/>
    </row>
    <row r="4" spans="1:47" s="61" customFormat="1" ht="14" x14ac:dyDescent="0.2">
      <c r="A4" s="73">
        <v>13411063</v>
      </c>
      <c r="B4" s="74">
        <v>21988</v>
      </c>
      <c r="C4" s="73">
        <v>1</v>
      </c>
      <c r="D4" s="64">
        <v>43501.833333333299</v>
      </c>
      <c r="E4" s="73">
        <v>0</v>
      </c>
      <c r="F4" s="73">
        <v>13433430</v>
      </c>
      <c r="G4" s="69"/>
      <c r="H4" s="75" t="s">
        <v>50</v>
      </c>
      <c r="I4" s="65">
        <v>43501</v>
      </c>
      <c r="J4" s="69">
        <v>1</v>
      </c>
      <c r="K4" s="69">
        <v>4</v>
      </c>
      <c r="L4" s="68" t="s">
        <v>51</v>
      </c>
      <c r="M4" s="67">
        <v>0</v>
      </c>
      <c r="N4" s="67">
        <v>0</v>
      </c>
      <c r="O4" s="67">
        <v>0</v>
      </c>
      <c r="P4" s="67">
        <v>6</v>
      </c>
      <c r="Q4" s="67">
        <v>0</v>
      </c>
      <c r="R4" s="67">
        <v>1</v>
      </c>
      <c r="S4" s="68" t="s">
        <v>52</v>
      </c>
      <c r="T4" s="67">
        <v>0</v>
      </c>
      <c r="U4" s="68"/>
      <c r="V4" s="67">
        <v>4.74</v>
      </c>
      <c r="W4" s="67">
        <v>3.6</v>
      </c>
      <c r="X4" s="67">
        <v>4.78</v>
      </c>
      <c r="Y4" s="67">
        <v>5.17</v>
      </c>
      <c r="Z4" s="67">
        <v>5.5</v>
      </c>
      <c r="AA4" s="67">
        <v>5.6</v>
      </c>
      <c r="AB4" s="67"/>
      <c r="AC4" s="67"/>
      <c r="AD4" s="67">
        <v>0.15</v>
      </c>
      <c r="AE4" s="67"/>
      <c r="AF4" s="67">
        <v>0.14000000000000001</v>
      </c>
      <c r="AG4" s="67">
        <v>0.19</v>
      </c>
      <c r="AH4" s="67"/>
      <c r="AI4" s="67"/>
      <c r="AJ4" s="67">
        <v>1</v>
      </c>
      <c r="AK4" s="67">
        <v>11.2</v>
      </c>
      <c r="AL4" s="67">
        <v>10</v>
      </c>
      <c r="AM4" s="67">
        <v>12.9</v>
      </c>
      <c r="AN4" s="67"/>
      <c r="AO4" s="67"/>
      <c r="AP4" s="67"/>
      <c r="AQ4" s="67">
        <v>1</v>
      </c>
      <c r="AR4" s="67">
        <v>1</v>
      </c>
      <c r="AS4" s="67">
        <v>0</v>
      </c>
      <c r="AT4" s="71"/>
      <c r="AU4" s="71"/>
    </row>
    <row r="5" spans="1:47" s="61" customFormat="1" ht="14" x14ac:dyDescent="0.2">
      <c r="A5" s="73">
        <v>13475301</v>
      </c>
      <c r="B5" s="74">
        <v>19047</v>
      </c>
      <c r="C5" s="73">
        <v>0</v>
      </c>
      <c r="D5" s="64">
        <v>43778.84375</v>
      </c>
      <c r="E5" s="73">
        <v>1</v>
      </c>
      <c r="F5" s="73">
        <v>13508271</v>
      </c>
      <c r="G5" s="69"/>
      <c r="H5" s="75"/>
      <c r="I5" s="113"/>
      <c r="J5" s="109"/>
      <c r="K5" s="109"/>
      <c r="L5" s="68"/>
      <c r="M5" s="111"/>
      <c r="N5" s="111"/>
      <c r="O5" s="111"/>
      <c r="P5" s="111"/>
      <c r="Q5" s="111"/>
      <c r="R5" s="111"/>
      <c r="S5" s="68"/>
      <c r="T5" s="111"/>
      <c r="U5" s="68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>
        <v>1</v>
      </c>
      <c r="AK5" s="67"/>
      <c r="AL5" s="67"/>
      <c r="AM5" s="67"/>
      <c r="AN5" s="67"/>
      <c r="AO5" s="67"/>
      <c r="AP5" s="67"/>
      <c r="AQ5" s="111"/>
      <c r="AR5" s="111"/>
      <c r="AS5" s="111"/>
      <c r="AT5" s="71"/>
      <c r="AU5" s="71"/>
    </row>
    <row r="6" spans="1:47" s="61" customFormat="1" ht="14" x14ac:dyDescent="0.2">
      <c r="A6" s="73">
        <v>13504126</v>
      </c>
      <c r="B6" s="74">
        <v>26678</v>
      </c>
      <c r="C6" s="73">
        <v>0</v>
      </c>
      <c r="D6" s="64">
        <v>43778.635416666664</v>
      </c>
      <c r="E6" s="73">
        <v>0</v>
      </c>
      <c r="F6" s="73">
        <v>13508271</v>
      </c>
      <c r="G6" s="69"/>
      <c r="H6" s="75" t="s">
        <v>53</v>
      </c>
      <c r="I6" s="113"/>
      <c r="J6" s="69">
        <v>1</v>
      </c>
      <c r="K6" s="69">
        <v>4</v>
      </c>
      <c r="L6" s="68" t="s">
        <v>54</v>
      </c>
      <c r="M6" s="67">
        <v>0</v>
      </c>
      <c r="N6" s="67">
        <v>0</v>
      </c>
      <c r="O6" s="67">
        <v>0</v>
      </c>
      <c r="P6" s="67">
        <v>9</v>
      </c>
      <c r="Q6" s="67">
        <v>0</v>
      </c>
      <c r="R6" s="67">
        <v>0</v>
      </c>
      <c r="S6" s="68"/>
      <c r="T6" s="67">
        <v>0</v>
      </c>
      <c r="U6" s="68" t="s">
        <v>55</v>
      </c>
      <c r="V6" s="67">
        <v>5.07</v>
      </c>
      <c r="W6" s="67">
        <v>10.210000000000001</v>
      </c>
      <c r="X6" s="67">
        <v>6.37</v>
      </c>
      <c r="Y6" s="67">
        <v>2.46</v>
      </c>
      <c r="Z6" s="67">
        <v>1.17</v>
      </c>
      <c r="AA6" s="67">
        <v>1.34</v>
      </c>
      <c r="AB6" s="67">
        <v>1.37</v>
      </c>
      <c r="AC6" s="67"/>
      <c r="AD6" s="67">
        <v>1.37</v>
      </c>
      <c r="AE6" s="67">
        <v>0.51</v>
      </c>
      <c r="AF6" s="67">
        <v>0.3</v>
      </c>
      <c r="AG6" s="67">
        <v>0.24</v>
      </c>
      <c r="AH6" s="67">
        <v>0.14000000000000001</v>
      </c>
      <c r="AI6" s="67">
        <v>0.18</v>
      </c>
      <c r="AJ6" s="67">
        <v>1</v>
      </c>
      <c r="AK6" s="67">
        <v>30</v>
      </c>
      <c r="AL6" s="67">
        <v>7.1</v>
      </c>
      <c r="AM6" s="67">
        <v>8.1999999999999993</v>
      </c>
      <c r="AN6" s="67"/>
      <c r="AO6" s="67"/>
      <c r="AP6" s="67"/>
      <c r="AQ6" s="67">
        <v>1</v>
      </c>
      <c r="AR6" s="67">
        <v>1</v>
      </c>
      <c r="AS6" s="67">
        <v>0</v>
      </c>
      <c r="AT6" s="71"/>
      <c r="AU6" s="71"/>
    </row>
    <row r="7" spans="1:47" s="61" customFormat="1" ht="14" x14ac:dyDescent="0.2">
      <c r="A7" s="73">
        <v>13410260</v>
      </c>
      <c r="B7" s="74">
        <v>26483</v>
      </c>
      <c r="C7" s="73">
        <v>1</v>
      </c>
      <c r="D7" s="64">
        <v>43774.5</v>
      </c>
      <c r="E7" s="73">
        <v>1</v>
      </c>
      <c r="F7" s="73">
        <v>13505950</v>
      </c>
      <c r="G7" s="69"/>
      <c r="H7" s="75" t="s">
        <v>56</v>
      </c>
      <c r="I7" s="65">
        <v>42826</v>
      </c>
      <c r="J7" s="69">
        <v>1</v>
      </c>
      <c r="K7" s="69">
        <v>6</v>
      </c>
      <c r="L7" s="68" t="s">
        <v>57</v>
      </c>
      <c r="M7" s="67">
        <v>0</v>
      </c>
      <c r="N7" s="67">
        <v>0</v>
      </c>
      <c r="O7" s="67">
        <v>0</v>
      </c>
      <c r="P7" s="67">
        <v>5</v>
      </c>
      <c r="Q7" s="67">
        <v>0</v>
      </c>
      <c r="R7" s="67">
        <v>0</v>
      </c>
      <c r="S7" s="68"/>
      <c r="T7" s="67">
        <v>0</v>
      </c>
      <c r="U7" s="68"/>
      <c r="V7" s="67">
        <v>3.83</v>
      </c>
      <c r="W7" s="67">
        <v>2.6</v>
      </c>
      <c r="X7" s="67">
        <v>1.44</v>
      </c>
      <c r="Y7" s="67">
        <v>1.27</v>
      </c>
      <c r="Z7" s="67">
        <v>1.4</v>
      </c>
      <c r="AA7" s="67">
        <v>1.54</v>
      </c>
      <c r="AB7" s="67">
        <v>1.0900000000000001</v>
      </c>
      <c r="AC7" s="67"/>
      <c r="AD7" s="67"/>
      <c r="AE7" s="67">
        <v>0.14000000000000001</v>
      </c>
      <c r="AF7" s="67">
        <v>0.1</v>
      </c>
      <c r="AG7" s="67">
        <v>7.0000000000000007E-2</v>
      </c>
      <c r="AH7" s="67">
        <v>0.03</v>
      </c>
      <c r="AI7" s="67">
        <v>0.2</v>
      </c>
      <c r="AJ7" s="67">
        <v>1</v>
      </c>
      <c r="AK7" s="67">
        <v>8.4</v>
      </c>
      <c r="AL7" s="67">
        <v>11.2</v>
      </c>
      <c r="AM7" s="67">
        <v>12.8</v>
      </c>
      <c r="AN7" s="67"/>
      <c r="AO7" s="67"/>
      <c r="AP7" s="67"/>
      <c r="AQ7" s="67">
        <v>1</v>
      </c>
      <c r="AR7" s="67">
        <v>1</v>
      </c>
      <c r="AS7" s="67">
        <v>0</v>
      </c>
      <c r="AT7" s="71"/>
      <c r="AU7" s="71"/>
    </row>
    <row r="8" spans="1:47" s="61" customFormat="1" ht="14" x14ac:dyDescent="0.2">
      <c r="A8" s="73">
        <v>13413012</v>
      </c>
      <c r="B8" s="74">
        <v>28918</v>
      </c>
      <c r="C8" s="73">
        <v>1</v>
      </c>
      <c r="D8" s="64">
        <v>43774.333333333299</v>
      </c>
      <c r="E8" s="73">
        <v>0</v>
      </c>
      <c r="F8" s="73">
        <v>13505950</v>
      </c>
      <c r="G8" s="69"/>
      <c r="H8" s="75" t="s">
        <v>58</v>
      </c>
      <c r="I8" s="65">
        <v>43070</v>
      </c>
      <c r="J8" s="69">
        <v>1</v>
      </c>
      <c r="K8" s="69">
        <v>6</v>
      </c>
      <c r="L8" s="68" t="s">
        <v>59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8"/>
      <c r="T8" s="67">
        <v>0</v>
      </c>
      <c r="U8" s="68"/>
      <c r="V8" s="67">
        <v>2.6</v>
      </c>
      <c r="W8" s="67">
        <v>2.16</v>
      </c>
      <c r="X8" s="67">
        <v>1.18</v>
      </c>
      <c r="Y8" s="67">
        <v>0.97</v>
      </c>
      <c r="Z8" s="67">
        <v>1.33</v>
      </c>
      <c r="AA8" s="67">
        <v>1.31</v>
      </c>
      <c r="AB8" s="67">
        <v>1.33</v>
      </c>
      <c r="AC8" s="67"/>
      <c r="AD8" s="67">
        <v>0.15</v>
      </c>
      <c r="AE8" s="67">
        <v>0.08</v>
      </c>
      <c r="AF8" s="67">
        <v>0.04</v>
      </c>
      <c r="AG8" s="67">
        <v>0.04</v>
      </c>
      <c r="AH8" s="67">
        <v>0.03</v>
      </c>
      <c r="AI8" s="67">
        <v>0.03</v>
      </c>
      <c r="AJ8" s="67">
        <v>1</v>
      </c>
      <c r="AK8" s="67">
        <v>9.6</v>
      </c>
      <c r="AL8" s="67">
        <v>8.1999999999999993</v>
      </c>
      <c r="AM8" s="67">
        <v>8.3000000000000007</v>
      </c>
      <c r="AN8" s="67"/>
      <c r="AO8" s="67"/>
      <c r="AP8" s="67"/>
      <c r="AQ8" s="67">
        <v>1</v>
      </c>
      <c r="AR8" s="67">
        <v>1</v>
      </c>
      <c r="AS8" s="67">
        <v>0</v>
      </c>
      <c r="AT8" s="71"/>
      <c r="AU8" s="71"/>
    </row>
    <row r="9" spans="1:47" s="61" customFormat="1" ht="14" x14ac:dyDescent="0.2">
      <c r="A9" s="73">
        <v>13487514</v>
      </c>
      <c r="B9" s="74">
        <v>25423</v>
      </c>
      <c r="C9" s="73">
        <v>0</v>
      </c>
      <c r="D9" s="64">
        <v>43767.798611111109</v>
      </c>
      <c r="E9" s="73">
        <v>0</v>
      </c>
      <c r="F9" s="73">
        <v>13504642</v>
      </c>
      <c r="G9" s="69"/>
      <c r="H9" s="75" t="s">
        <v>60</v>
      </c>
      <c r="I9" s="65">
        <v>42948</v>
      </c>
      <c r="J9" s="69">
        <v>1</v>
      </c>
      <c r="K9" s="69">
        <v>3</v>
      </c>
      <c r="L9" s="68" t="s">
        <v>61</v>
      </c>
      <c r="M9" s="67">
        <v>0</v>
      </c>
      <c r="N9" s="67">
        <v>0</v>
      </c>
      <c r="O9" s="67">
        <v>1</v>
      </c>
      <c r="P9" s="67">
        <v>17</v>
      </c>
      <c r="Q9" s="67">
        <v>1</v>
      </c>
      <c r="R9" s="67">
        <v>1</v>
      </c>
      <c r="S9" s="68" t="s">
        <v>62</v>
      </c>
      <c r="T9" s="67">
        <v>1</v>
      </c>
      <c r="U9" s="68" t="s">
        <v>63</v>
      </c>
      <c r="V9" s="67">
        <v>11.5</v>
      </c>
      <c r="W9" s="67">
        <v>15.1</v>
      </c>
      <c r="X9" s="67">
        <v>9.1199999999999992</v>
      </c>
      <c r="Y9" s="67">
        <v>2.23</v>
      </c>
      <c r="Z9" s="67">
        <v>1.74</v>
      </c>
      <c r="AA9" s="67">
        <v>1.72</v>
      </c>
      <c r="AB9" s="67">
        <v>1.56</v>
      </c>
      <c r="AC9" s="67">
        <v>1.18</v>
      </c>
      <c r="AD9" s="67">
        <v>1.31</v>
      </c>
      <c r="AE9" s="67">
        <v>0.93</v>
      </c>
      <c r="AF9" s="67">
        <v>0.47</v>
      </c>
      <c r="AG9" s="67">
        <v>0.23</v>
      </c>
      <c r="AH9" s="67">
        <v>0.28000000000000003</v>
      </c>
      <c r="AI9" s="67">
        <v>0.14000000000000001</v>
      </c>
      <c r="AJ9" s="67">
        <v>1</v>
      </c>
      <c r="AK9" s="67">
        <v>26.4</v>
      </c>
      <c r="AL9" s="67">
        <v>10.199999999999999</v>
      </c>
      <c r="AM9" s="67">
        <v>12.5</v>
      </c>
      <c r="AN9" s="67"/>
      <c r="AO9" s="67"/>
      <c r="AP9" s="67"/>
      <c r="AQ9" s="67">
        <v>1</v>
      </c>
      <c r="AR9" s="67">
        <v>1</v>
      </c>
      <c r="AS9" s="67">
        <v>0</v>
      </c>
      <c r="AT9" s="71"/>
      <c r="AU9" s="71"/>
    </row>
    <row r="10" spans="1:47" s="61" customFormat="1" ht="14" x14ac:dyDescent="0.2">
      <c r="A10" s="73">
        <v>13504653</v>
      </c>
      <c r="B10" s="74">
        <v>20333</v>
      </c>
      <c r="C10" s="73">
        <v>0</v>
      </c>
      <c r="D10" s="64">
        <v>43767.552083333336</v>
      </c>
      <c r="E10" s="73">
        <v>1</v>
      </c>
      <c r="F10" s="73">
        <v>13504642</v>
      </c>
      <c r="G10" s="69"/>
      <c r="H10" s="75" t="s">
        <v>64</v>
      </c>
      <c r="I10" s="65">
        <v>43132</v>
      </c>
      <c r="J10" s="69">
        <v>1</v>
      </c>
      <c r="K10" s="69">
        <v>3</v>
      </c>
      <c r="L10" s="68" t="s">
        <v>65</v>
      </c>
      <c r="M10" s="67">
        <v>0</v>
      </c>
      <c r="N10" s="67">
        <v>0</v>
      </c>
      <c r="O10" s="67">
        <v>1</v>
      </c>
      <c r="P10" s="67">
        <v>18</v>
      </c>
      <c r="Q10" s="67">
        <v>3</v>
      </c>
      <c r="R10" s="67">
        <v>1</v>
      </c>
      <c r="S10" s="68" t="s">
        <v>66</v>
      </c>
      <c r="T10" s="67">
        <v>1</v>
      </c>
      <c r="U10" s="68" t="s">
        <v>67</v>
      </c>
      <c r="V10" s="67">
        <v>4.7699999999999996</v>
      </c>
      <c r="W10" s="67">
        <v>4.4000000000000004</v>
      </c>
      <c r="X10" s="67">
        <v>5.65</v>
      </c>
      <c r="Y10" s="67">
        <v>2.19</v>
      </c>
      <c r="Z10" s="67">
        <v>1.1499999999999999</v>
      </c>
      <c r="AA10" s="67">
        <v>0.88</v>
      </c>
      <c r="AB10" s="67">
        <v>0.78</v>
      </c>
      <c r="AC10" s="67">
        <v>0.39</v>
      </c>
      <c r="AD10" s="67">
        <v>2.8</v>
      </c>
      <c r="AE10" s="67">
        <v>0.65</v>
      </c>
      <c r="AF10" s="67">
        <v>0.7</v>
      </c>
      <c r="AG10" s="67">
        <v>0.15</v>
      </c>
      <c r="AH10" s="67">
        <v>0.13</v>
      </c>
      <c r="AI10" s="67">
        <v>0.1</v>
      </c>
      <c r="AJ10" s="67">
        <v>1</v>
      </c>
      <c r="AK10" s="67">
        <v>7.7</v>
      </c>
      <c r="AL10" s="67">
        <v>8.9</v>
      </c>
      <c r="AM10" s="67">
        <v>7.3</v>
      </c>
      <c r="AN10" s="67"/>
      <c r="AO10" s="67"/>
      <c r="AP10" s="67"/>
      <c r="AQ10" s="67">
        <v>1</v>
      </c>
      <c r="AR10" s="67">
        <v>1</v>
      </c>
      <c r="AS10" s="67">
        <v>0</v>
      </c>
      <c r="AT10" s="71"/>
      <c r="AU10" s="71"/>
    </row>
    <row r="11" spans="1:47" s="61" customFormat="1" ht="14" x14ac:dyDescent="0.2">
      <c r="A11" s="73">
        <v>13413233</v>
      </c>
      <c r="B11" s="74">
        <v>24371</v>
      </c>
      <c r="C11" s="73">
        <v>0</v>
      </c>
      <c r="D11" s="64">
        <v>43764.035416666666</v>
      </c>
      <c r="E11" s="73">
        <v>0</v>
      </c>
      <c r="F11" s="73">
        <v>13504255</v>
      </c>
      <c r="G11" s="69"/>
      <c r="H11" s="75" t="s">
        <v>68</v>
      </c>
      <c r="I11" s="65">
        <v>43009</v>
      </c>
      <c r="J11" s="69">
        <v>1</v>
      </c>
      <c r="K11" s="69">
        <v>4</v>
      </c>
      <c r="L11" s="68" t="s">
        <v>69</v>
      </c>
      <c r="M11" s="67">
        <v>0</v>
      </c>
      <c r="N11" s="67">
        <v>0</v>
      </c>
      <c r="O11" s="67">
        <v>1</v>
      </c>
      <c r="P11" s="67">
        <v>11</v>
      </c>
      <c r="Q11" s="67">
        <v>1</v>
      </c>
      <c r="R11" s="67">
        <v>1</v>
      </c>
      <c r="S11" s="68" t="s">
        <v>70</v>
      </c>
      <c r="T11" s="67">
        <v>0</v>
      </c>
      <c r="U11" s="68"/>
      <c r="V11" s="67">
        <v>10.46</v>
      </c>
      <c r="W11" s="67">
        <v>10.41</v>
      </c>
      <c r="X11" s="67">
        <v>5.7</v>
      </c>
      <c r="Y11" s="67">
        <v>2.13</v>
      </c>
      <c r="Z11" s="67">
        <v>1.43</v>
      </c>
      <c r="AA11" s="67">
        <v>1.31</v>
      </c>
      <c r="AB11" s="67">
        <v>1.58</v>
      </c>
      <c r="AC11" s="67">
        <v>1.7</v>
      </c>
      <c r="AD11" s="67">
        <v>1.54</v>
      </c>
      <c r="AE11" s="67">
        <v>0.74</v>
      </c>
      <c r="AF11" s="67">
        <v>0.68</v>
      </c>
      <c r="AG11" s="67">
        <v>0.13</v>
      </c>
      <c r="AH11" s="67">
        <v>0.14000000000000001</v>
      </c>
      <c r="AI11" s="67">
        <v>0.12</v>
      </c>
      <c r="AJ11" s="67">
        <v>2</v>
      </c>
      <c r="AK11" s="67"/>
      <c r="AL11" s="67"/>
      <c r="AM11" s="67"/>
      <c r="AN11" s="67">
        <v>165</v>
      </c>
      <c r="AO11" s="67">
        <v>110</v>
      </c>
      <c r="AP11" s="67">
        <v>61</v>
      </c>
      <c r="AQ11" s="67">
        <v>1</v>
      </c>
      <c r="AR11" s="67">
        <v>1</v>
      </c>
      <c r="AS11" s="67">
        <v>0</v>
      </c>
      <c r="AT11" s="71"/>
      <c r="AU11" s="71"/>
    </row>
    <row r="12" spans="1:47" s="61" customFormat="1" ht="14" x14ac:dyDescent="0.2">
      <c r="A12" s="73">
        <v>13465770</v>
      </c>
      <c r="B12" s="74">
        <v>28088</v>
      </c>
      <c r="C12" s="73">
        <v>0</v>
      </c>
      <c r="D12" s="64">
        <v>43764.468055555597</v>
      </c>
      <c r="E12" s="73">
        <v>1</v>
      </c>
      <c r="F12" s="73">
        <v>13504255</v>
      </c>
      <c r="G12" s="69"/>
      <c r="H12" s="75" t="s">
        <v>71</v>
      </c>
      <c r="I12" s="65">
        <v>43191</v>
      </c>
      <c r="J12" s="69">
        <v>0</v>
      </c>
      <c r="K12" s="69">
        <v>0</v>
      </c>
      <c r="L12" s="68"/>
      <c r="M12" s="67">
        <v>0</v>
      </c>
      <c r="N12" s="67">
        <v>0</v>
      </c>
      <c r="O12" s="67">
        <v>1</v>
      </c>
      <c r="P12" s="67">
        <v>12</v>
      </c>
      <c r="Q12" s="67">
        <v>4</v>
      </c>
      <c r="R12" s="67">
        <v>0</v>
      </c>
      <c r="S12" s="68"/>
      <c r="T12" s="67">
        <v>0</v>
      </c>
      <c r="U12" s="68"/>
      <c r="V12" s="67">
        <v>11.46</v>
      </c>
      <c r="W12" s="67">
        <v>12.47</v>
      </c>
      <c r="X12" s="67">
        <v>12.91</v>
      </c>
      <c r="Y12" s="67">
        <v>3.48</v>
      </c>
      <c r="Z12" s="67">
        <v>1.44</v>
      </c>
      <c r="AA12" s="67">
        <v>1.8</v>
      </c>
      <c r="AB12" s="67">
        <v>1.65</v>
      </c>
      <c r="AC12" s="67">
        <v>4.17</v>
      </c>
      <c r="AD12" s="67">
        <v>1.89</v>
      </c>
      <c r="AE12" s="67">
        <v>3.66</v>
      </c>
      <c r="AF12" s="67">
        <v>0.75</v>
      </c>
      <c r="AG12" s="67">
        <v>0.12</v>
      </c>
      <c r="AH12" s="67">
        <v>0.17</v>
      </c>
      <c r="AI12" s="67">
        <v>0.06</v>
      </c>
      <c r="AJ12" s="67">
        <v>2</v>
      </c>
      <c r="AK12" s="67"/>
      <c r="AL12" s="67"/>
      <c r="AM12" s="67"/>
      <c r="AN12" s="67">
        <v>42</v>
      </c>
      <c r="AO12" s="67">
        <v>144</v>
      </c>
      <c r="AP12" s="67">
        <v>109</v>
      </c>
      <c r="AQ12" s="67">
        <v>1</v>
      </c>
      <c r="AR12" s="67">
        <v>1</v>
      </c>
      <c r="AS12" s="67">
        <v>0</v>
      </c>
      <c r="AT12" s="71"/>
      <c r="AU12" s="71"/>
    </row>
    <row r="13" spans="1:47" s="61" customFormat="1" ht="14" x14ac:dyDescent="0.2">
      <c r="A13" s="73">
        <v>13408963</v>
      </c>
      <c r="B13" s="74">
        <v>25367</v>
      </c>
      <c r="C13" s="73">
        <v>1</v>
      </c>
      <c r="D13" s="64">
        <v>43736.166666666664</v>
      </c>
      <c r="E13" s="73">
        <v>0</v>
      </c>
      <c r="F13" s="73">
        <v>13497292</v>
      </c>
      <c r="G13" s="69"/>
      <c r="H13" s="75" t="s">
        <v>72</v>
      </c>
      <c r="I13" s="65">
        <v>43009</v>
      </c>
      <c r="J13" s="69">
        <v>1</v>
      </c>
      <c r="K13" s="69">
        <v>4</v>
      </c>
      <c r="L13" s="68" t="s">
        <v>73</v>
      </c>
      <c r="M13" s="67">
        <v>0</v>
      </c>
      <c r="N13" s="67">
        <v>0</v>
      </c>
      <c r="O13" s="67">
        <v>1</v>
      </c>
      <c r="P13" s="67">
        <v>3</v>
      </c>
      <c r="Q13" s="67">
        <v>2</v>
      </c>
      <c r="R13" s="67">
        <v>1</v>
      </c>
      <c r="S13" s="68" t="s">
        <v>74</v>
      </c>
      <c r="T13" s="67">
        <v>1</v>
      </c>
      <c r="U13" s="68" t="s">
        <v>75</v>
      </c>
      <c r="V13" s="67">
        <v>3.47</v>
      </c>
      <c r="W13" s="67">
        <v>3.01</v>
      </c>
      <c r="X13" s="67">
        <v>3.01</v>
      </c>
      <c r="Y13" s="67">
        <v>5.23</v>
      </c>
      <c r="Z13" s="67">
        <v>2.97</v>
      </c>
      <c r="AA13" s="67">
        <v>2.86</v>
      </c>
      <c r="AB13" s="67">
        <v>2.29</v>
      </c>
      <c r="AC13" s="67">
        <v>2.78</v>
      </c>
      <c r="AD13" s="67">
        <v>0.61</v>
      </c>
      <c r="AE13" s="67">
        <v>0.36899999999999999</v>
      </c>
      <c r="AF13" s="67">
        <v>0.26</v>
      </c>
      <c r="AG13" s="67">
        <v>0.09</v>
      </c>
      <c r="AH13" s="67">
        <v>0.09</v>
      </c>
      <c r="AI13" s="67"/>
      <c r="AJ13" s="67">
        <v>1</v>
      </c>
      <c r="AK13" s="67">
        <v>6.4</v>
      </c>
      <c r="AL13" s="67">
        <v>6.9</v>
      </c>
      <c r="AM13" s="67">
        <v>7</v>
      </c>
      <c r="AN13" s="67"/>
      <c r="AO13" s="67"/>
      <c r="AP13" s="67"/>
      <c r="AQ13" s="67">
        <v>1</v>
      </c>
      <c r="AR13" s="67">
        <v>1</v>
      </c>
      <c r="AS13" s="67">
        <v>0</v>
      </c>
      <c r="AT13" s="71"/>
      <c r="AU13" s="71"/>
    </row>
    <row r="14" spans="1:47" s="61" customFormat="1" ht="14" x14ac:dyDescent="0.2">
      <c r="A14" s="73">
        <v>13408860</v>
      </c>
      <c r="B14" s="74">
        <v>28000</v>
      </c>
      <c r="C14" s="73">
        <v>1</v>
      </c>
      <c r="D14" s="64">
        <v>43735.979166666701</v>
      </c>
      <c r="E14" s="73">
        <v>1</v>
      </c>
      <c r="F14" s="73">
        <v>13497292</v>
      </c>
      <c r="G14" s="69"/>
      <c r="H14" s="75" t="s">
        <v>50</v>
      </c>
      <c r="I14" s="65">
        <v>42917</v>
      </c>
      <c r="J14" s="69">
        <v>1</v>
      </c>
      <c r="K14" s="69">
        <v>4</v>
      </c>
      <c r="L14" s="68" t="s">
        <v>73</v>
      </c>
      <c r="M14" s="67">
        <v>0</v>
      </c>
      <c r="N14" s="67">
        <v>0</v>
      </c>
      <c r="O14" s="67">
        <v>1</v>
      </c>
      <c r="P14" s="67">
        <v>12</v>
      </c>
      <c r="Q14" s="67">
        <v>2</v>
      </c>
      <c r="R14" s="67">
        <v>0</v>
      </c>
      <c r="S14" s="68"/>
      <c r="T14" s="67">
        <v>1</v>
      </c>
      <c r="U14" s="68" t="s">
        <v>76</v>
      </c>
      <c r="V14" s="67">
        <v>7.3</v>
      </c>
      <c r="W14" s="67">
        <v>9.61</v>
      </c>
      <c r="X14" s="67">
        <v>9.27</v>
      </c>
      <c r="Y14" s="67">
        <v>7.04</v>
      </c>
      <c r="Z14" s="67">
        <v>2.73</v>
      </c>
      <c r="AA14" s="67">
        <v>1.97</v>
      </c>
      <c r="AB14" s="67">
        <v>1.86</v>
      </c>
      <c r="AC14" s="67"/>
      <c r="AD14" s="67"/>
      <c r="AE14" s="67">
        <v>0.37</v>
      </c>
      <c r="AF14" s="67">
        <v>0.7</v>
      </c>
      <c r="AG14" s="67">
        <v>0.16</v>
      </c>
      <c r="AH14" s="67"/>
      <c r="AI14" s="67"/>
      <c r="AJ14" s="67">
        <v>1</v>
      </c>
      <c r="AK14" s="67">
        <v>9</v>
      </c>
      <c r="AL14" s="67">
        <v>14.2</v>
      </c>
      <c r="AM14" s="67">
        <v>6.8</v>
      </c>
      <c r="AN14" s="67"/>
      <c r="AO14" s="67"/>
      <c r="AP14" s="67"/>
      <c r="AQ14" s="67">
        <v>1</v>
      </c>
      <c r="AR14" s="67">
        <v>1</v>
      </c>
      <c r="AS14" s="67">
        <v>0</v>
      </c>
      <c r="AT14" s="71"/>
      <c r="AU14" s="71"/>
    </row>
    <row r="15" spans="1:47" s="61" customFormat="1" ht="14" x14ac:dyDescent="0.2">
      <c r="A15" s="73">
        <v>13410094</v>
      </c>
      <c r="B15" s="74">
        <v>22654</v>
      </c>
      <c r="C15" s="73">
        <v>1</v>
      </c>
      <c r="D15" s="64">
        <v>43703.958333333299</v>
      </c>
      <c r="E15" s="73">
        <v>1</v>
      </c>
      <c r="F15" s="73">
        <v>13490664</v>
      </c>
      <c r="G15" s="69"/>
      <c r="H15" s="75" t="s">
        <v>77</v>
      </c>
      <c r="I15" s="65">
        <v>42370</v>
      </c>
      <c r="J15" s="69">
        <v>1</v>
      </c>
      <c r="K15" s="69">
        <v>6</v>
      </c>
      <c r="L15" s="68" t="s">
        <v>57</v>
      </c>
      <c r="M15" s="67">
        <v>0</v>
      </c>
      <c r="N15" s="67">
        <v>0</v>
      </c>
      <c r="O15" s="67">
        <v>1</v>
      </c>
      <c r="P15" s="67">
        <v>27</v>
      </c>
      <c r="Q15" s="67">
        <v>1</v>
      </c>
      <c r="R15" s="67">
        <v>0</v>
      </c>
      <c r="S15" s="68"/>
      <c r="T15" s="67">
        <v>0</v>
      </c>
      <c r="U15" s="68"/>
      <c r="V15" s="67">
        <v>6.99</v>
      </c>
      <c r="W15" s="67">
        <v>8.7799999999999994</v>
      </c>
      <c r="X15" s="67">
        <v>13.55</v>
      </c>
      <c r="Y15" s="67">
        <v>5.92</v>
      </c>
      <c r="Z15" s="67">
        <v>3.12</v>
      </c>
      <c r="AA15" s="67">
        <v>3.06</v>
      </c>
      <c r="AB15" s="67">
        <v>2.7</v>
      </c>
      <c r="AC15" s="67"/>
      <c r="AD15" s="67"/>
      <c r="AE15" s="67"/>
      <c r="AF15" s="67">
        <v>0.49</v>
      </c>
      <c r="AG15" s="67">
        <v>0.1</v>
      </c>
      <c r="AH15" s="67">
        <v>0.05</v>
      </c>
      <c r="AI15" s="67">
        <v>0.03</v>
      </c>
      <c r="AJ15" s="67">
        <v>1</v>
      </c>
      <c r="AK15" s="67">
        <v>7</v>
      </c>
      <c r="AL15" s="67">
        <v>9.4</v>
      </c>
      <c r="AM15" s="67">
        <v>11.2</v>
      </c>
      <c r="AN15" s="67"/>
      <c r="AO15" s="67"/>
      <c r="AP15" s="67"/>
      <c r="AQ15" s="67">
        <v>1</v>
      </c>
      <c r="AR15" s="67">
        <v>1</v>
      </c>
      <c r="AS15" s="67">
        <v>0</v>
      </c>
      <c r="AT15" s="71"/>
      <c r="AU15" s="71"/>
    </row>
    <row r="16" spans="1:47" s="61" customFormat="1" ht="14" x14ac:dyDescent="0.2">
      <c r="A16" s="73">
        <v>13432026</v>
      </c>
      <c r="B16" s="74">
        <v>22972</v>
      </c>
      <c r="C16" s="73">
        <v>1</v>
      </c>
      <c r="D16" s="64">
        <v>43703.75</v>
      </c>
      <c r="E16" s="73">
        <v>0</v>
      </c>
      <c r="F16" s="73">
        <v>13490664</v>
      </c>
      <c r="G16" s="69"/>
      <c r="H16" s="75" t="s">
        <v>78</v>
      </c>
      <c r="I16" s="65">
        <v>42948</v>
      </c>
      <c r="J16" s="69">
        <v>0</v>
      </c>
      <c r="K16" s="69">
        <v>0</v>
      </c>
      <c r="L16" s="68"/>
      <c r="M16" s="67">
        <v>0</v>
      </c>
      <c r="N16" s="67">
        <v>0</v>
      </c>
      <c r="O16" s="67">
        <v>1</v>
      </c>
      <c r="P16" s="67">
        <v>26</v>
      </c>
      <c r="Q16" s="67">
        <v>1</v>
      </c>
      <c r="R16" s="67">
        <v>1</v>
      </c>
      <c r="S16" s="68" t="s">
        <v>79</v>
      </c>
      <c r="T16" s="67">
        <v>1</v>
      </c>
      <c r="U16" s="68" t="s">
        <v>80</v>
      </c>
      <c r="V16" s="67">
        <v>11.17</v>
      </c>
      <c r="W16" s="67">
        <v>10.4</v>
      </c>
      <c r="X16" s="67">
        <v>7.89</v>
      </c>
      <c r="Y16" s="67">
        <v>13.04</v>
      </c>
      <c r="Z16" s="67">
        <v>6.07</v>
      </c>
      <c r="AA16" s="67">
        <v>6.42</v>
      </c>
      <c r="AB16" s="67">
        <v>6.23</v>
      </c>
      <c r="AC16" s="67"/>
      <c r="AD16" s="67">
        <v>5.34</v>
      </c>
      <c r="AE16" s="67">
        <v>1.22</v>
      </c>
      <c r="AF16" s="67">
        <v>0.26</v>
      </c>
      <c r="AG16" s="67">
        <v>0.36</v>
      </c>
      <c r="AH16" s="67">
        <v>0.38</v>
      </c>
      <c r="AI16" s="67">
        <v>0.52</v>
      </c>
      <c r="AJ16" s="67">
        <v>1</v>
      </c>
      <c r="AK16" s="67">
        <v>7.6</v>
      </c>
      <c r="AL16" s="67">
        <v>16.899999999999999</v>
      </c>
      <c r="AM16" s="67">
        <v>5.3</v>
      </c>
      <c r="AN16" s="67"/>
      <c r="AO16" s="67"/>
      <c r="AP16" s="67"/>
      <c r="AQ16" s="67">
        <v>1</v>
      </c>
      <c r="AR16" s="67">
        <v>1</v>
      </c>
      <c r="AS16" s="67">
        <v>0</v>
      </c>
      <c r="AT16" s="71"/>
      <c r="AU16" s="71"/>
    </row>
    <row r="17" spans="1:47" s="61" customFormat="1" ht="14" x14ac:dyDescent="0.2">
      <c r="A17" s="73">
        <v>13442040</v>
      </c>
      <c r="B17" s="74">
        <v>23906</v>
      </c>
      <c r="C17" s="73">
        <v>0</v>
      </c>
      <c r="D17" s="64">
        <v>43612.979166666664</v>
      </c>
      <c r="E17" s="73">
        <v>1</v>
      </c>
      <c r="F17" s="73">
        <v>13465512</v>
      </c>
      <c r="G17" s="69"/>
      <c r="H17" s="75" t="s">
        <v>81</v>
      </c>
      <c r="I17" s="65">
        <v>43252</v>
      </c>
      <c r="J17" s="69">
        <v>1</v>
      </c>
      <c r="K17" s="69">
        <v>3</v>
      </c>
      <c r="L17" s="68" t="s">
        <v>82</v>
      </c>
      <c r="M17" s="67">
        <v>0</v>
      </c>
      <c r="N17" s="67">
        <v>0</v>
      </c>
      <c r="O17" s="67">
        <v>0</v>
      </c>
      <c r="P17" s="67">
        <v>4</v>
      </c>
      <c r="Q17" s="67">
        <v>0</v>
      </c>
      <c r="R17" s="67">
        <v>0</v>
      </c>
      <c r="S17" s="68"/>
      <c r="T17" s="67">
        <v>0</v>
      </c>
      <c r="U17" s="68"/>
      <c r="V17" s="67"/>
      <c r="W17" s="67"/>
      <c r="X17" s="67"/>
      <c r="Y17" s="67"/>
      <c r="Z17" s="67">
        <v>1.78</v>
      </c>
      <c r="AA17" s="67">
        <v>1.56</v>
      </c>
      <c r="AB17" s="67">
        <v>1.66</v>
      </c>
      <c r="AC17" s="67"/>
      <c r="AD17" s="67"/>
      <c r="AE17" s="67"/>
      <c r="AF17" s="67"/>
      <c r="AG17" s="67">
        <v>0.34</v>
      </c>
      <c r="AH17" s="67">
        <v>0.46</v>
      </c>
      <c r="AI17" s="67">
        <v>0.2</v>
      </c>
      <c r="AJ17" s="67">
        <v>1</v>
      </c>
      <c r="AK17" s="67">
        <v>6.5</v>
      </c>
      <c r="AL17" s="67">
        <v>7.8</v>
      </c>
      <c r="AM17" s="67">
        <v>8.1999999999999993</v>
      </c>
      <c r="AN17" s="67"/>
      <c r="AO17" s="67"/>
      <c r="AP17" s="67"/>
      <c r="AQ17" s="67">
        <v>1</v>
      </c>
      <c r="AR17" s="67">
        <v>1</v>
      </c>
      <c r="AS17" s="67">
        <v>0</v>
      </c>
      <c r="AT17" s="71"/>
      <c r="AU17" s="71"/>
    </row>
    <row r="18" spans="1:47" s="61" customFormat="1" ht="14" x14ac:dyDescent="0.2">
      <c r="A18" s="73">
        <v>13419522</v>
      </c>
      <c r="B18" s="74">
        <v>24107</v>
      </c>
      <c r="C18" s="73">
        <v>0</v>
      </c>
      <c r="D18" s="64">
        <v>43613.069444444445</v>
      </c>
      <c r="E18" s="73">
        <v>0</v>
      </c>
      <c r="F18" s="73">
        <v>13465512</v>
      </c>
      <c r="G18" s="69"/>
      <c r="H18" s="75" t="s">
        <v>156</v>
      </c>
      <c r="I18" s="65">
        <v>43101</v>
      </c>
      <c r="J18" s="69">
        <v>0</v>
      </c>
      <c r="K18" s="69">
        <v>0</v>
      </c>
      <c r="L18" s="68"/>
      <c r="M18" s="67">
        <v>0</v>
      </c>
      <c r="N18" s="67">
        <v>0</v>
      </c>
      <c r="O18" s="67">
        <v>0</v>
      </c>
      <c r="P18" s="67">
        <v>0</v>
      </c>
      <c r="Q18" s="67">
        <v>0</v>
      </c>
      <c r="R18" s="67">
        <v>0</v>
      </c>
      <c r="S18" s="68"/>
      <c r="T18" s="67">
        <v>0</v>
      </c>
      <c r="U18" s="68"/>
      <c r="V18" s="67"/>
      <c r="W18" s="67"/>
      <c r="X18" s="67"/>
      <c r="Y18" s="67"/>
      <c r="Z18" s="67">
        <v>1.45</v>
      </c>
      <c r="AA18" s="67">
        <v>1.65</v>
      </c>
      <c r="AB18" s="67">
        <v>1.24</v>
      </c>
      <c r="AC18" s="67"/>
      <c r="AD18" s="67"/>
      <c r="AE18" s="67"/>
      <c r="AF18" s="67"/>
      <c r="AG18" s="67">
        <v>0.28000000000000003</v>
      </c>
      <c r="AH18" s="67">
        <v>0.13</v>
      </c>
      <c r="AI18" s="67">
        <v>0.18</v>
      </c>
      <c r="AJ18" s="67">
        <v>1</v>
      </c>
      <c r="AK18" s="67"/>
      <c r="AL18" s="67"/>
      <c r="AM18" s="67">
        <v>5.9</v>
      </c>
      <c r="AN18" s="67"/>
      <c r="AO18" s="67"/>
      <c r="AP18" s="67"/>
      <c r="AQ18" s="67">
        <v>1</v>
      </c>
      <c r="AR18" s="67">
        <v>1</v>
      </c>
      <c r="AS18" s="67">
        <v>0</v>
      </c>
      <c r="AT18" s="71"/>
      <c r="AU18" s="71"/>
    </row>
    <row r="19" spans="1:47" s="61" customFormat="1" ht="14" x14ac:dyDescent="0.2">
      <c r="A19" s="73">
        <v>13415904</v>
      </c>
      <c r="B19" s="74">
        <v>31739</v>
      </c>
      <c r="C19" s="73">
        <v>0</v>
      </c>
      <c r="D19" s="64">
        <v>43558.100694444445</v>
      </c>
      <c r="E19" s="73">
        <v>0</v>
      </c>
      <c r="F19" s="73">
        <v>13448944</v>
      </c>
      <c r="G19" s="69"/>
      <c r="H19" s="75" t="s">
        <v>83</v>
      </c>
      <c r="I19" s="65">
        <v>43132</v>
      </c>
      <c r="J19" s="69">
        <v>1</v>
      </c>
      <c r="K19" s="69">
        <v>3</v>
      </c>
      <c r="L19" s="68" t="s">
        <v>84</v>
      </c>
      <c r="M19" s="67">
        <v>0</v>
      </c>
      <c r="N19" s="67">
        <v>0</v>
      </c>
      <c r="O19" s="67">
        <v>0</v>
      </c>
      <c r="P19" s="67">
        <v>12</v>
      </c>
      <c r="Q19" s="67">
        <v>0</v>
      </c>
      <c r="R19" s="67">
        <v>1</v>
      </c>
      <c r="S19" s="68" t="s">
        <v>85</v>
      </c>
      <c r="T19" s="67">
        <v>0</v>
      </c>
      <c r="U19" s="68" t="s">
        <v>86</v>
      </c>
      <c r="V19" s="67"/>
      <c r="W19" s="67"/>
      <c r="X19" s="67"/>
      <c r="Y19" s="67"/>
      <c r="Z19" s="67">
        <v>1.23</v>
      </c>
      <c r="AA19" s="67">
        <v>1.53</v>
      </c>
      <c r="AB19" s="67">
        <v>1.29</v>
      </c>
      <c r="AC19" s="67"/>
      <c r="AD19" s="67"/>
      <c r="AE19" s="67"/>
      <c r="AF19" s="67"/>
      <c r="AG19" s="67">
        <v>0.09</v>
      </c>
      <c r="AH19" s="67">
        <v>7.0000000000000007E-2</v>
      </c>
      <c r="AI19" s="67">
        <v>0.06</v>
      </c>
      <c r="AJ19" s="67">
        <v>1</v>
      </c>
      <c r="AK19" s="67"/>
      <c r="AL19" s="67"/>
      <c r="AM19" s="67">
        <v>7.9</v>
      </c>
      <c r="AN19" s="67"/>
      <c r="AO19" s="67"/>
      <c r="AP19" s="67"/>
      <c r="AQ19" s="67">
        <v>1</v>
      </c>
      <c r="AR19" s="67">
        <v>1</v>
      </c>
      <c r="AS19" s="67">
        <v>0</v>
      </c>
      <c r="AT19" s="71"/>
      <c r="AU19" s="71"/>
    </row>
    <row r="20" spans="1:47" s="61" customFormat="1" ht="14" x14ac:dyDescent="0.2">
      <c r="A20" s="73">
        <v>13439542</v>
      </c>
      <c r="B20" s="74">
        <v>22049</v>
      </c>
      <c r="C20" s="73">
        <v>0</v>
      </c>
      <c r="D20" s="64">
        <v>43557.890277777777</v>
      </c>
      <c r="E20" s="73">
        <v>1</v>
      </c>
      <c r="F20" s="73">
        <v>13448944</v>
      </c>
      <c r="G20" s="69"/>
      <c r="H20" s="75" t="s">
        <v>155</v>
      </c>
      <c r="I20" s="65">
        <v>43191</v>
      </c>
      <c r="J20" s="109">
        <v>1</v>
      </c>
      <c r="K20" s="109">
        <v>4</v>
      </c>
      <c r="L20" s="68"/>
      <c r="M20" s="67">
        <v>1</v>
      </c>
      <c r="N20" s="67">
        <v>0</v>
      </c>
      <c r="O20" s="67">
        <v>1</v>
      </c>
      <c r="P20" s="67">
        <v>36</v>
      </c>
      <c r="Q20" s="111">
        <v>4</v>
      </c>
      <c r="R20" s="67">
        <v>1</v>
      </c>
      <c r="S20" s="68" t="s">
        <v>87</v>
      </c>
      <c r="T20" s="111">
        <v>0</v>
      </c>
      <c r="U20" s="68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>
        <v>1</v>
      </c>
      <c r="AK20" s="67"/>
      <c r="AL20" s="67"/>
      <c r="AM20" s="67"/>
      <c r="AN20" s="67"/>
      <c r="AO20" s="67"/>
      <c r="AP20" s="67"/>
      <c r="AQ20" s="111"/>
      <c r="AR20" s="111"/>
      <c r="AS20" s="111"/>
      <c r="AT20" s="71"/>
      <c r="AU20" s="71"/>
    </row>
    <row r="21" spans="1:47" s="61" customFormat="1" ht="14" x14ac:dyDescent="0.2">
      <c r="A21" s="73">
        <v>13416011</v>
      </c>
      <c r="B21" s="74">
        <v>19495</v>
      </c>
      <c r="C21" s="73">
        <v>0</v>
      </c>
      <c r="D21" s="64">
        <v>43478.503472222219</v>
      </c>
      <c r="E21" s="73">
        <v>1</v>
      </c>
      <c r="F21" s="73">
        <v>13426684</v>
      </c>
      <c r="G21" s="69"/>
      <c r="H21" s="75" t="s">
        <v>88</v>
      </c>
      <c r="I21" s="65">
        <v>43009</v>
      </c>
      <c r="J21" s="69">
        <v>0</v>
      </c>
      <c r="K21" s="69">
        <v>0</v>
      </c>
      <c r="L21" s="70"/>
      <c r="M21" s="69">
        <v>1</v>
      </c>
      <c r="N21" s="69">
        <v>0</v>
      </c>
      <c r="O21" s="69">
        <v>0</v>
      </c>
      <c r="P21" s="69">
        <v>6</v>
      </c>
      <c r="Q21" s="69">
        <v>0</v>
      </c>
      <c r="R21" s="69">
        <v>0</v>
      </c>
      <c r="S21" s="68"/>
      <c r="T21" s="69">
        <v>1</v>
      </c>
      <c r="U21" s="70" t="s">
        <v>89</v>
      </c>
      <c r="V21" s="69"/>
      <c r="W21" s="69"/>
      <c r="X21" s="69"/>
      <c r="Y21" s="69"/>
      <c r="Z21" s="69"/>
      <c r="AA21" s="69">
        <v>1.31</v>
      </c>
      <c r="AB21" s="69">
        <v>1.21</v>
      </c>
      <c r="AC21" s="69"/>
      <c r="AD21" s="69"/>
      <c r="AE21" s="69"/>
      <c r="AF21" s="69"/>
      <c r="AG21" s="69"/>
      <c r="AH21" s="69">
        <v>0.13</v>
      </c>
      <c r="AI21" s="69">
        <v>0.14000000000000001</v>
      </c>
      <c r="AJ21" s="69">
        <v>1</v>
      </c>
      <c r="AK21" s="69"/>
      <c r="AL21" s="69"/>
      <c r="AM21" s="69"/>
      <c r="AN21" s="69"/>
      <c r="AO21" s="69"/>
      <c r="AP21" s="69"/>
      <c r="AQ21" s="69">
        <v>1</v>
      </c>
      <c r="AR21" s="69">
        <v>1</v>
      </c>
      <c r="AS21" s="69">
        <v>0</v>
      </c>
      <c r="AT21" s="71"/>
      <c r="AU21" s="71"/>
    </row>
    <row r="22" spans="1:47" s="61" customFormat="1" ht="14" x14ac:dyDescent="0.2">
      <c r="A22" s="73">
        <v>13415915</v>
      </c>
      <c r="B22" s="74">
        <v>19390</v>
      </c>
      <c r="C22" s="73">
        <v>0</v>
      </c>
      <c r="D22" s="64">
        <v>43478.875</v>
      </c>
      <c r="E22" s="73">
        <v>0</v>
      </c>
      <c r="F22" s="73">
        <v>13426684</v>
      </c>
      <c r="G22" s="69"/>
      <c r="H22" s="75" t="s">
        <v>90</v>
      </c>
      <c r="I22" s="65">
        <v>43160</v>
      </c>
      <c r="J22" s="69">
        <v>1</v>
      </c>
      <c r="K22" s="69">
        <v>5</v>
      </c>
      <c r="L22" s="70" t="s">
        <v>91</v>
      </c>
      <c r="M22" s="69">
        <v>0</v>
      </c>
      <c r="N22" s="69">
        <v>0</v>
      </c>
      <c r="O22" s="69">
        <v>1</v>
      </c>
      <c r="P22" s="69">
        <v>11</v>
      </c>
      <c r="Q22" s="69">
        <v>1</v>
      </c>
      <c r="R22" s="69">
        <v>0</v>
      </c>
      <c r="S22" s="68"/>
      <c r="T22" s="69">
        <v>1</v>
      </c>
      <c r="U22" s="70" t="s">
        <v>63</v>
      </c>
      <c r="V22" s="69"/>
      <c r="W22" s="69"/>
      <c r="X22" s="69"/>
      <c r="Y22" s="69"/>
      <c r="Z22" s="69"/>
      <c r="AA22" s="69">
        <v>1.8</v>
      </c>
      <c r="AB22" s="69">
        <v>1.71</v>
      </c>
      <c r="AC22" s="69"/>
      <c r="AD22" s="69"/>
      <c r="AE22" s="69"/>
      <c r="AF22" s="69"/>
      <c r="AG22" s="69"/>
      <c r="AH22" s="69">
        <v>0.2</v>
      </c>
      <c r="AI22" s="69">
        <v>0.21</v>
      </c>
      <c r="AJ22" s="69">
        <v>1</v>
      </c>
      <c r="AK22" s="69"/>
      <c r="AL22" s="69"/>
      <c r="AM22" s="69"/>
      <c r="AN22" s="69"/>
      <c r="AO22" s="69"/>
      <c r="AP22" s="69"/>
      <c r="AQ22" s="69">
        <v>1</v>
      </c>
      <c r="AR22" s="69">
        <v>1</v>
      </c>
      <c r="AS22" s="69">
        <v>0</v>
      </c>
      <c r="AT22" s="71"/>
      <c r="AU22" s="71"/>
    </row>
    <row r="23" spans="1:47" s="61" customFormat="1" ht="14" x14ac:dyDescent="0.2">
      <c r="A23" s="73">
        <v>13411520</v>
      </c>
      <c r="B23" s="74">
        <v>29318</v>
      </c>
      <c r="C23" s="73">
        <v>0</v>
      </c>
      <c r="D23" s="64">
        <v>43648.877083333333</v>
      </c>
      <c r="E23" s="73">
        <v>1</v>
      </c>
      <c r="F23" s="73">
        <v>13474461</v>
      </c>
      <c r="G23" s="69"/>
      <c r="H23" s="75" t="s">
        <v>92</v>
      </c>
      <c r="I23" s="65">
        <v>43647</v>
      </c>
      <c r="J23" s="69">
        <v>0</v>
      </c>
      <c r="K23" s="69">
        <v>0</v>
      </c>
      <c r="L23" s="70"/>
      <c r="M23" s="69">
        <v>1</v>
      </c>
      <c r="N23" s="69">
        <v>0</v>
      </c>
      <c r="O23" s="69">
        <v>1</v>
      </c>
      <c r="P23" s="69">
        <v>1</v>
      </c>
      <c r="Q23" s="69">
        <v>1</v>
      </c>
      <c r="R23" s="69">
        <v>1</v>
      </c>
      <c r="S23" s="70" t="s">
        <v>93</v>
      </c>
      <c r="T23" s="69">
        <v>0</v>
      </c>
      <c r="U23" s="70"/>
      <c r="V23" s="69"/>
      <c r="W23" s="69"/>
      <c r="X23" s="69"/>
      <c r="Y23" s="69">
        <v>8.09</v>
      </c>
      <c r="Z23" s="69">
        <v>8.91</v>
      </c>
      <c r="AA23" s="69">
        <v>8.1</v>
      </c>
      <c r="AB23" s="69">
        <v>7.97</v>
      </c>
      <c r="AC23" s="69"/>
      <c r="AD23" s="69"/>
      <c r="AE23" s="69"/>
      <c r="AF23" s="69"/>
      <c r="AG23" s="69"/>
      <c r="AH23" s="69"/>
      <c r="AI23" s="69"/>
      <c r="AJ23" s="109"/>
      <c r="AK23" s="69"/>
      <c r="AL23" s="69"/>
      <c r="AM23" s="69"/>
      <c r="AN23" s="69"/>
      <c r="AO23" s="69"/>
      <c r="AP23" s="69"/>
      <c r="AQ23" s="69">
        <v>0</v>
      </c>
      <c r="AR23" s="69">
        <v>1</v>
      </c>
      <c r="AS23" s="69">
        <v>0</v>
      </c>
      <c r="AT23" s="71"/>
      <c r="AU23" s="71"/>
    </row>
    <row r="24" spans="1:47" s="61" customFormat="1" ht="14" x14ac:dyDescent="0.2">
      <c r="A24" s="71">
        <v>13414515</v>
      </c>
      <c r="B24" s="112">
        <v>27974</v>
      </c>
      <c r="C24" s="73">
        <v>0</v>
      </c>
      <c r="D24" s="76">
        <v>43463.000011574099</v>
      </c>
      <c r="E24" s="73">
        <v>1</v>
      </c>
      <c r="F24" s="71">
        <v>13420631</v>
      </c>
      <c r="G24" s="71"/>
      <c r="H24" s="75" t="s">
        <v>650</v>
      </c>
      <c r="I24" s="72">
        <v>43165</v>
      </c>
      <c r="J24" s="110">
        <v>1</v>
      </c>
      <c r="K24" s="109">
        <v>5</v>
      </c>
      <c r="L24" s="71"/>
      <c r="M24" s="69">
        <v>0</v>
      </c>
      <c r="N24" s="69">
        <v>0</v>
      </c>
      <c r="O24" s="69">
        <v>0</v>
      </c>
      <c r="P24" s="69">
        <v>12</v>
      </c>
      <c r="Q24" s="69">
        <v>0</v>
      </c>
      <c r="R24" s="69">
        <v>1</v>
      </c>
      <c r="S24" s="70" t="s">
        <v>652</v>
      </c>
      <c r="T24" s="69">
        <v>1</v>
      </c>
      <c r="U24" s="70" t="s">
        <v>651</v>
      </c>
      <c r="V24" s="71">
        <v>1.18</v>
      </c>
      <c r="W24" s="71">
        <v>1.77</v>
      </c>
      <c r="X24" s="71">
        <v>1.59</v>
      </c>
      <c r="Y24" s="71">
        <v>0.83</v>
      </c>
      <c r="Z24" s="71">
        <v>1.19</v>
      </c>
      <c r="AA24" s="71">
        <v>1.1599999999999999</v>
      </c>
      <c r="AB24" s="71">
        <v>1.1299999999999999</v>
      </c>
      <c r="AC24" s="71"/>
      <c r="AD24" s="71"/>
      <c r="AE24" s="71"/>
      <c r="AF24" s="71">
        <v>0.28000000000000003</v>
      </c>
      <c r="AG24" s="71">
        <v>0.16</v>
      </c>
      <c r="AH24" s="71">
        <v>0.22</v>
      </c>
      <c r="AI24" s="71">
        <v>0.1</v>
      </c>
      <c r="AJ24" s="110"/>
      <c r="AK24" s="71">
        <v>4.3</v>
      </c>
      <c r="AL24" s="71">
        <v>10.3</v>
      </c>
      <c r="AM24" s="71">
        <v>7.8</v>
      </c>
      <c r="AN24" s="71"/>
      <c r="AO24" s="71"/>
      <c r="AP24" s="71"/>
      <c r="AQ24" s="110">
        <v>1</v>
      </c>
      <c r="AR24" s="110">
        <v>1</v>
      </c>
      <c r="AS24" s="110">
        <v>0</v>
      </c>
      <c r="AT24" s="71"/>
      <c r="AU24" s="71"/>
    </row>
    <row r="25" spans="1:47" s="61" customFormat="1" ht="14" x14ac:dyDescent="0.2">
      <c r="A25" s="71">
        <v>12966235</v>
      </c>
      <c r="B25" s="112">
        <v>31274</v>
      </c>
      <c r="C25" s="73">
        <v>1</v>
      </c>
      <c r="D25" s="76">
        <v>43448</v>
      </c>
      <c r="E25" s="73">
        <v>1</v>
      </c>
      <c r="F25" s="71">
        <v>13411564</v>
      </c>
      <c r="G25" s="71"/>
      <c r="H25" s="75" t="s">
        <v>493</v>
      </c>
      <c r="I25" s="72">
        <v>44764</v>
      </c>
      <c r="J25" s="110">
        <v>1</v>
      </c>
      <c r="K25" s="110">
        <v>5</v>
      </c>
      <c r="L25" s="71"/>
      <c r="M25" s="69">
        <v>0</v>
      </c>
      <c r="N25" s="69">
        <v>0</v>
      </c>
      <c r="O25" s="69">
        <v>1</v>
      </c>
      <c r="P25" s="110">
        <v>18</v>
      </c>
      <c r="Q25" s="110">
        <v>6</v>
      </c>
      <c r="R25" s="69">
        <v>1</v>
      </c>
      <c r="S25" s="70" t="s">
        <v>491</v>
      </c>
      <c r="T25" s="69">
        <v>1</v>
      </c>
      <c r="U25" s="70" t="s">
        <v>492</v>
      </c>
      <c r="V25" s="71">
        <v>4.87</v>
      </c>
      <c r="W25" s="71">
        <v>5.14</v>
      </c>
      <c r="X25" s="71">
        <v>5.59</v>
      </c>
      <c r="Y25" s="71">
        <v>4.49</v>
      </c>
      <c r="Z25" s="71">
        <v>5.27</v>
      </c>
      <c r="AA25" s="71">
        <v>3.43</v>
      </c>
      <c r="AB25" s="71">
        <v>3.7</v>
      </c>
      <c r="AC25" s="71">
        <v>4.92</v>
      </c>
      <c r="AD25" s="71">
        <v>1.34</v>
      </c>
      <c r="AE25" s="71">
        <v>1</v>
      </c>
      <c r="AF25" s="71">
        <v>0.64</v>
      </c>
      <c r="AG25" s="71">
        <v>0.34</v>
      </c>
      <c r="AH25" s="69">
        <v>0.31</v>
      </c>
      <c r="AI25" s="69">
        <v>0.16</v>
      </c>
      <c r="AJ25" s="109"/>
      <c r="AK25" s="71"/>
      <c r="AL25" s="71"/>
      <c r="AM25" s="71">
        <v>1</v>
      </c>
      <c r="AN25" s="71">
        <v>32</v>
      </c>
      <c r="AO25" s="71">
        <v>230</v>
      </c>
      <c r="AP25" s="71">
        <v>103</v>
      </c>
      <c r="AQ25" s="69">
        <v>1</v>
      </c>
      <c r="AR25" s="69">
        <v>1</v>
      </c>
      <c r="AS25" s="69">
        <v>0</v>
      </c>
      <c r="AT25" s="71" t="s">
        <v>494</v>
      </c>
      <c r="AU25" s="71"/>
    </row>
    <row r="26" spans="1:47" s="61" customFormat="1" ht="14" x14ac:dyDescent="0.2">
      <c r="A26" s="71">
        <v>13411553</v>
      </c>
      <c r="B26" s="72">
        <v>20660</v>
      </c>
      <c r="C26" s="73">
        <v>1</v>
      </c>
      <c r="D26" s="76">
        <v>43448</v>
      </c>
      <c r="E26" s="73">
        <v>0</v>
      </c>
      <c r="F26" s="71">
        <v>13411564</v>
      </c>
      <c r="G26" s="71"/>
      <c r="H26" s="75" t="s">
        <v>68</v>
      </c>
      <c r="I26" s="72">
        <v>42892</v>
      </c>
      <c r="J26" s="110">
        <v>1</v>
      </c>
      <c r="K26" s="110">
        <v>3</v>
      </c>
      <c r="L26" s="71"/>
      <c r="M26" s="69">
        <v>0</v>
      </c>
      <c r="N26" s="69">
        <v>1</v>
      </c>
      <c r="O26" s="69">
        <v>1</v>
      </c>
      <c r="P26" s="110">
        <v>8</v>
      </c>
      <c r="Q26" s="110">
        <v>2</v>
      </c>
      <c r="R26" s="69">
        <v>1</v>
      </c>
      <c r="S26" s="70" t="s">
        <v>856</v>
      </c>
      <c r="T26" s="69">
        <v>0</v>
      </c>
      <c r="U26" s="70"/>
      <c r="V26" s="71">
        <v>7.07</v>
      </c>
      <c r="W26" s="71">
        <v>14.24</v>
      </c>
      <c r="X26" s="71">
        <v>11.33</v>
      </c>
      <c r="Y26" s="71">
        <v>8.48</v>
      </c>
      <c r="Z26" s="71">
        <v>4.4000000000000004</v>
      </c>
      <c r="AA26" s="71">
        <v>4.13</v>
      </c>
      <c r="AB26" s="71">
        <v>4.8600000000000003</v>
      </c>
      <c r="AC26" s="71">
        <v>7.8</v>
      </c>
      <c r="AD26" s="71">
        <v>6.4</v>
      </c>
      <c r="AE26" s="71">
        <v>1.21</v>
      </c>
      <c r="AF26" s="71">
        <v>2.2599999999999998</v>
      </c>
      <c r="AG26" s="71">
        <v>2.0499999999999998</v>
      </c>
      <c r="AH26" s="71">
        <v>1.48</v>
      </c>
      <c r="AI26" s="71">
        <v>1.88</v>
      </c>
      <c r="AJ26" s="110"/>
      <c r="AK26" s="71">
        <v>9.6</v>
      </c>
      <c r="AL26" s="71">
        <v>8</v>
      </c>
      <c r="AM26" s="71">
        <v>7.8</v>
      </c>
      <c r="AN26" s="71"/>
      <c r="AO26" s="71"/>
      <c r="AP26" s="71"/>
      <c r="AQ26" s="69">
        <v>0</v>
      </c>
      <c r="AR26" s="69">
        <v>1</v>
      </c>
      <c r="AS26" s="69">
        <v>0</v>
      </c>
      <c r="AT26" s="71"/>
      <c r="AU26" s="71"/>
    </row>
    <row r="27" spans="1:47" s="61" customFormat="1" ht="14" x14ac:dyDescent="0.2">
      <c r="A27" s="71">
        <v>13404660</v>
      </c>
      <c r="B27" s="112">
        <v>21490</v>
      </c>
      <c r="C27" s="71">
        <v>1</v>
      </c>
      <c r="D27" s="76">
        <v>43398.000011574099</v>
      </c>
      <c r="E27" s="71">
        <v>0</v>
      </c>
      <c r="F27" s="73">
        <v>13404634</v>
      </c>
      <c r="G27" s="71"/>
      <c r="H27" s="75" t="s">
        <v>68</v>
      </c>
      <c r="I27" s="72">
        <v>42705</v>
      </c>
      <c r="J27" s="110">
        <v>1</v>
      </c>
      <c r="K27" s="110">
        <v>5</v>
      </c>
      <c r="L27" s="71" t="s">
        <v>627</v>
      </c>
      <c r="M27" s="69">
        <v>0</v>
      </c>
      <c r="N27" s="69">
        <v>0</v>
      </c>
      <c r="O27" s="69">
        <v>1</v>
      </c>
      <c r="P27" s="71">
        <v>17</v>
      </c>
      <c r="Q27" s="71">
        <v>4</v>
      </c>
      <c r="R27" s="69">
        <v>0</v>
      </c>
      <c r="S27" s="68"/>
      <c r="T27" s="69">
        <v>1</v>
      </c>
      <c r="U27" s="70" t="s">
        <v>626</v>
      </c>
      <c r="V27" s="71">
        <v>8.15</v>
      </c>
      <c r="W27" s="71">
        <v>13.35</v>
      </c>
      <c r="X27" s="71">
        <v>18.37</v>
      </c>
      <c r="Y27" s="71">
        <v>2.96</v>
      </c>
      <c r="Z27" s="71">
        <v>1.62</v>
      </c>
      <c r="AA27" s="71">
        <v>1.77</v>
      </c>
      <c r="AB27" s="71">
        <v>1.53</v>
      </c>
      <c r="AC27" s="71"/>
      <c r="AD27" s="71"/>
      <c r="AE27" s="71">
        <v>0.36</v>
      </c>
      <c r="AF27" s="71">
        <v>0.26</v>
      </c>
      <c r="AG27" s="71">
        <v>0.16</v>
      </c>
      <c r="AH27" s="71">
        <v>0.22</v>
      </c>
      <c r="AI27" s="71">
        <v>0.2</v>
      </c>
      <c r="AJ27" s="110"/>
      <c r="AK27" s="71">
        <v>19.600000000000001</v>
      </c>
      <c r="AL27" s="71">
        <v>11.4</v>
      </c>
      <c r="AM27" s="71">
        <v>6.5</v>
      </c>
      <c r="AN27" s="71"/>
      <c r="AO27" s="71"/>
      <c r="AP27" s="71"/>
      <c r="AQ27" s="69">
        <v>1</v>
      </c>
      <c r="AR27" s="69">
        <v>1</v>
      </c>
      <c r="AS27" s="69">
        <v>0</v>
      </c>
      <c r="AT27" s="71"/>
      <c r="AU27" s="71" t="s">
        <v>628</v>
      </c>
    </row>
    <row r="28" spans="1:47" s="61" customFormat="1" ht="14" x14ac:dyDescent="0.2">
      <c r="A28" s="71">
        <v>13404671</v>
      </c>
      <c r="B28" s="112">
        <v>22965</v>
      </c>
      <c r="C28" s="71">
        <v>1</v>
      </c>
      <c r="D28" s="76">
        <v>43398.000011574099</v>
      </c>
      <c r="E28" s="71">
        <v>1</v>
      </c>
      <c r="F28" s="71">
        <v>13404634</v>
      </c>
      <c r="G28" s="71"/>
      <c r="H28" s="75" t="s">
        <v>619</v>
      </c>
      <c r="I28" s="72">
        <v>42917</v>
      </c>
      <c r="J28" s="110">
        <v>0</v>
      </c>
      <c r="K28" s="110">
        <v>6</v>
      </c>
      <c r="L28" s="71" t="s">
        <v>620</v>
      </c>
      <c r="M28" s="69">
        <v>0</v>
      </c>
      <c r="N28" s="69">
        <v>0</v>
      </c>
      <c r="O28" s="69">
        <v>1</v>
      </c>
      <c r="P28" s="69">
        <v>18</v>
      </c>
      <c r="Q28" s="69">
        <v>4</v>
      </c>
      <c r="R28" s="69">
        <v>0</v>
      </c>
      <c r="S28" s="68"/>
      <c r="T28" s="69">
        <v>0</v>
      </c>
      <c r="U28" s="70"/>
      <c r="V28" s="71">
        <v>19.78</v>
      </c>
      <c r="W28" s="71">
        <v>9.81</v>
      </c>
      <c r="X28" s="71">
        <v>17.239999999999998</v>
      </c>
      <c r="Y28" s="71">
        <v>2.73</v>
      </c>
      <c r="Z28" s="71">
        <v>2.06</v>
      </c>
      <c r="AA28" s="71">
        <v>1.46</v>
      </c>
      <c r="AB28" s="71">
        <v>1.28</v>
      </c>
      <c r="AC28" s="71"/>
      <c r="AD28" s="71"/>
      <c r="AE28" s="71"/>
      <c r="AF28" s="71">
        <v>0.43</v>
      </c>
      <c r="AG28" s="71">
        <v>0.26</v>
      </c>
      <c r="AH28" s="71">
        <v>0.22</v>
      </c>
      <c r="AI28" s="71">
        <v>0.25</v>
      </c>
      <c r="AJ28" s="110"/>
      <c r="AK28" s="71">
        <v>11.7</v>
      </c>
      <c r="AL28" s="71">
        <v>12.6</v>
      </c>
      <c r="AM28" s="71">
        <v>12.5</v>
      </c>
      <c r="AN28" s="71"/>
      <c r="AO28" s="71"/>
      <c r="AP28" s="71"/>
      <c r="AQ28" s="69">
        <v>1</v>
      </c>
      <c r="AR28" s="69">
        <v>1</v>
      </c>
      <c r="AS28" s="69">
        <v>0</v>
      </c>
      <c r="AT28" s="71"/>
      <c r="AU28" s="71" t="s">
        <v>621</v>
      </c>
    </row>
    <row r="29" spans="1:47" s="61" customFormat="1" ht="14" x14ac:dyDescent="0.2">
      <c r="A29" s="71">
        <v>13389083</v>
      </c>
      <c r="B29" s="110" t="s">
        <v>887</v>
      </c>
      <c r="C29" s="71">
        <v>1</v>
      </c>
      <c r="D29" s="76">
        <v>43326</v>
      </c>
      <c r="E29" s="71">
        <v>1</v>
      </c>
      <c r="F29" s="71">
        <v>13389050</v>
      </c>
      <c r="G29" s="71"/>
      <c r="H29" s="75" t="s">
        <v>647</v>
      </c>
      <c r="I29" s="72">
        <v>42736</v>
      </c>
      <c r="J29" s="110">
        <v>1</v>
      </c>
      <c r="K29" s="110">
        <v>6</v>
      </c>
      <c r="L29" s="71"/>
      <c r="M29" s="69">
        <v>0</v>
      </c>
      <c r="N29" s="69">
        <v>0</v>
      </c>
      <c r="O29" s="69">
        <v>1</v>
      </c>
      <c r="P29" s="71">
        <v>16</v>
      </c>
      <c r="Q29" s="71">
        <v>2</v>
      </c>
      <c r="R29" s="69">
        <v>1</v>
      </c>
      <c r="S29" s="70" t="s">
        <v>649</v>
      </c>
      <c r="T29" s="69">
        <v>0</v>
      </c>
      <c r="U29" s="70"/>
      <c r="V29" s="71">
        <v>9.82</v>
      </c>
      <c r="W29" s="71">
        <v>10.73</v>
      </c>
      <c r="X29" s="71">
        <v>2.04</v>
      </c>
      <c r="Y29" s="71">
        <v>1.92</v>
      </c>
      <c r="Z29" s="71">
        <v>1.35</v>
      </c>
      <c r="AA29" s="71">
        <v>1.45</v>
      </c>
      <c r="AB29" s="71">
        <v>1.22</v>
      </c>
      <c r="AC29" s="71"/>
      <c r="AD29" s="71"/>
      <c r="AE29" s="71"/>
      <c r="AF29" s="71">
        <v>0.19</v>
      </c>
      <c r="AG29" s="71">
        <v>0.4</v>
      </c>
      <c r="AH29" s="71">
        <v>0.63</v>
      </c>
      <c r="AI29" s="71">
        <v>1.4</v>
      </c>
      <c r="AJ29" s="110"/>
      <c r="AK29" s="71">
        <v>7.8</v>
      </c>
      <c r="AL29" s="71">
        <v>12</v>
      </c>
      <c r="AM29" s="71">
        <v>11.1</v>
      </c>
      <c r="AN29" s="71"/>
      <c r="AO29" s="71"/>
      <c r="AP29" s="71"/>
      <c r="AQ29" s="110">
        <v>1</v>
      </c>
      <c r="AR29" s="110">
        <v>1</v>
      </c>
      <c r="AS29" s="110">
        <v>0</v>
      </c>
      <c r="AT29" s="71"/>
      <c r="AU29" s="71" t="s">
        <v>648</v>
      </c>
    </row>
    <row r="30" spans="1:47" s="61" customFormat="1" ht="14" x14ac:dyDescent="0.2">
      <c r="A30" s="71">
        <v>13389072</v>
      </c>
      <c r="B30" s="112">
        <v>23664</v>
      </c>
      <c r="C30" s="71">
        <v>1</v>
      </c>
      <c r="D30" s="76">
        <v>43326</v>
      </c>
      <c r="E30" s="71">
        <v>0</v>
      </c>
      <c r="F30" s="71">
        <v>13389050</v>
      </c>
      <c r="G30" s="71"/>
      <c r="H30" s="75" t="s">
        <v>622</v>
      </c>
      <c r="I30" s="72">
        <v>42856</v>
      </c>
      <c r="J30" s="110">
        <v>0</v>
      </c>
      <c r="K30" s="110">
        <v>0</v>
      </c>
      <c r="L30" s="71" t="s">
        <v>624</v>
      </c>
      <c r="M30" s="69">
        <v>0</v>
      </c>
      <c r="N30" s="69">
        <v>0</v>
      </c>
      <c r="O30" s="69">
        <v>1</v>
      </c>
      <c r="P30" s="71">
        <v>12</v>
      </c>
      <c r="Q30" s="71">
        <v>1</v>
      </c>
      <c r="R30" s="71">
        <v>1</v>
      </c>
      <c r="S30" s="70" t="s">
        <v>623</v>
      </c>
      <c r="T30" s="69">
        <v>0</v>
      </c>
      <c r="U30" s="70"/>
      <c r="V30" s="71">
        <v>5.15</v>
      </c>
      <c r="W30" s="71">
        <v>9.69</v>
      </c>
      <c r="X30" s="71">
        <v>8.6</v>
      </c>
      <c r="Y30" s="71">
        <v>1.54</v>
      </c>
      <c r="Z30" s="71">
        <v>1.69</v>
      </c>
      <c r="AA30" s="71">
        <v>1.38</v>
      </c>
      <c r="AB30" s="71">
        <v>1.56</v>
      </c>
      <c r="AC30" s="71"/>
      <c r="AD30" s="71">
        <v>0.51</v>
      </c>
      <c r="AE30" s="71">
        <v>61</v>
      </c>
      <c r="AF30" s="71">
        <v>0.06</v>
      </c>
      <c r="AG30" s="71">
        <v>0.08</v>
      </c>
      <c r="AH30" s="71">
        <v>0.1</v>
      </c>
      <c r="AI30" s="71">
        <v>0.13</v>
      </c>
      <c r="AJ30" s="110"/>
      <c r="AK30" s="71">
        <v>6.4</v>
      </c>
      <c r="AL30" s="71">
        <v>6.7</v>
      </c>
      <c r="AM30" s="71">
        <v>11.7</v>
      </c>
      <c r="AN30" s="71"/>
      <c r="AO30" s="71"/>
      <c r="AP30" s="71"/>
      <c r="AQ30" s="69">
        <v>1</v>
      </c>
      <c r="AR30" s="69">
        <v>1</v>
      </c>
      <c r="AS30" s="69">
        <v>0</v>
      </c>
      <c r="AT30" s="71"/>
      <c r="AU30" s="71" t="s">
        <v>625</v>
      </c>
    </row>
    <row r="31" spans="1:47" s="61" customFormat="1" ht="14" x14ac:dyDescent="0.2">
      <c r="A31" s="71">
        <v>13384113</v>
      </c>
      <c r="B31" s="112">
        <v>22028</v>
      </c>
      <c r="C31" s="71">
        <v>1</v>
      </c>
      <c r="D31" s="76">
        <v>43305.871527777803</v>
      </c>
      <c r="E31" s="71">
        <v>0</v>
      </c>
      <c r="F31" s="71">
        <v>13383811</v>
      </c>
      <c r="G31" s="71"/>
      <c r="H31" s="71"/>
      <c r="I31" s="112"/>
      <c r="J31" s="110"/>
      <c r="K31" s="110"/>
      <c r="L31" s="71"/>
      <c r="M31" s="110"/>
      <c r="N31" s="110"/>
      <c r="O31" s="110"/>
      <c r="P31" s="110"/>
      <c r="Q31" s="110"/>
      <c r="R31" s="110"/>
      <c r="S31" s="71"/>
      <c r="T31" s="110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110"/>
      <c r="AK31" s="71"/>
      <c r="AL31" s="71"/>
      <c r="AM31" s="71"/>
      <c r="AN31" s="71"/>
      <c r="AO31" s="71"/>
      <c r="AP31" s="71"/>
      <c r="AQ31" s="110"/>
      <c r="AR31" s="110"/>
      <c r="AS31" s="110"/>
      <c r="AT31" s="71"/>
      <c r="AU31" s="71"/>
    </row>
    <row r="32" spans="1:47" s="61" customFormat="1" ht="14" x14ac:dyDescent="0.2">
      <c r="A32" s="71">
        <v>13373764</v>
      </c>
      <c r="B32" s="112">
        <v>21671</v>
      </c>
      <c r="C32" s="71">
        <v>1</v>
      </c>
      <c r="D32" s="76">
        <v>43258.207638888889</v>
      </c>
      <c r="E32" s="71">
        <v>1</v>
      </c>
      <c r="F32" s="71">
        <v>13372994</v>
      </c>
      <c r="G32" s="71"/>
      <c r="H32" s="75" t="s">
        <v>629</v>
      </c>
      <c r="I32" s="112"/>
      <c r="J32" s="110">
        <v>1</v>
      </c>
      <c r="K32" s="110">
        <v>3</v>
      </c>
      <c r="L32" s="71" t="s">
        <v>630</v>
      </c>
      <c r="M32" s="69">
        <v>0</v>
      </c>
      <c r="N32" s="69">
        <v>0</v>
      </c>
      <c r="O32" s="69">
        <v>1</v>
      </c>
      <c r="P32" s="71">
        <v>15</v>
      </c>
      <c r="Q32" s="71">
        <v>2</v>
      </c>
      <c r="R32" s="71">
        <v>0</v>
      </c>
      <c r="S32" s="68"/>
      <c r="T32" s="69">
        <v>1</v>
      </c>
      <c r="U32" s="70" t="s">
        <v>632</v>
      </c>
      <c r="V32" s="71">
        <v>5.84</v>
      </c>
      <c r="W32" s="71">
        <v>9.9600000000000009</v>
      </c>
      <c r="X32" s="71">
        <v>5.48</v>
      </c>
      <c r="Y32" s="71">
        <v>2.6</v>
      </c>
      <c r="Z32" s="71">
        <v>1.64</v>
      </c>
      <c r="AA32" s="71">
        <v>1.2</v>
      </c>
      <c r="AB32" s="71">
        <v>1.33</v>
      </c>
      <c r="AC32" s="71"/>
      <c r="AD32" s="71"/>
      <c r="AE32" s="71">
        <v>0.25</v>
      </c>
      <c r="AF32" s="71">
        <v>0.16</v>
      </c>
      <c r="AG32" s="71">
        <v>0.09</v>
      </c>
      <c r="AH32" s="71">
        <v>0.31</v>
      </c>
      <c r="AI32" s="71">
        <v>0.1</v>
      </c>
      <c r="AJ32" s="110"/>
      <c r="AK32" s="71">
        <v>8.1999999999999993</v>
      </c>
      <c r="AL32" s="71"/>
      <c r="AM32" s="71">
        <v>10.4</v>
      </c>
      <c r="AN32" s="71"/>
      <c r="AO32" s="71"/>
      <c r="AP32" s="71"/>
      <c r="AQ32" s="110">
        <v>1</v>
      </c>
      <c r="AR32" s="110">
        <v>1</v>
      </c>
      <c r="AS32" s="110">
        <v>0</v>
      </c>
      <c r="AT32" s="71"/>
      <c r="AU32" s="71" t="s">
        <v>631</v>
      </c>
    </row>
    <row r="33" spans="1:47" s="61" customFormat="1" ht="14" x14ac:dyDescent="0.2">
      <c r="A33" s="71">
        <v>13373753</v>
      </c>
      <c r="B33" s="112">
        <v>32486</v>
      </c>
      <c r="C33" s="71">
        <v>1</v>
      </c>
      <c r="D33" s="76">
        <v>43258.207638888889</v>
      </c>
      <c r="E33" s="71">
        <v>0</v>
      </c>
      <c r="F33" s="71">
        <v>13372994</v>
      </c>
      <c r="G33" s="71"/>
      <c r="H33" s="71" t="s">
        <v>633</v>
      </c>
      <c r="I33" s="72">
        <v>42856</v>
      </c>
      <c r="J33" s="110">
        <v>1</v>
      </c>
      <c r="K33" s="110">
        <v>5</v>
      </c>
      <c r="L33" s="71"/>
      <c r="M33" s="71">
        <v>0</v>
      </c>
      <c r="N33" s="71">
        <v>0</v>
      </c>
      <c r="O33" s="71">
        <v>1</v>
      </c>
      <c r="P33" s="71">
        <v>13</v>
      </c>
      <c r="Q33" s="71">
        <v>2</v>
      </c>
      <c r="R33" s="71">
        <v>0</v>
      </c>
      <c r="S33" s="68"/>
      <c r="T33" s="71">
        <v>0</v>
      </c>
      <c r="U33" s="71"/>
      <c r="V33" s="71">
        <v>6.53</v>
      </c>
      <c r="W33" s="71">
        <v>11.14</v>
      </c>
      <c r="X33" s="71">
        <v>3.3</v>
      </c>
      <c r="Y33" s="71">
        <v>1.78</v>
      </c>
      <c r="Z33" s="71">
        <v>1.29</v>
      </c>
      <c r="AA33" s="71">
        <v>1.23</v>
      </c>
      <c r="AB33" s="71">
        <v>1.1499999999999999</v>
      </c>
      <c r="AC33" s="71"/>
      <c r="AD33" s="71"/>
      <c r="AE33" s="71">
        <v>0.23</v>
      </c>
      <c r="AF33" s="71">
        <v>0.15</v>
      </c>
      <c r="AG33" s="71">
        <v>0.28999999999999998</v>
      </c>
      <c r="AH33" s="71">
        <v>0.26</v>
      </c>
      <c r="AI33" s="71">
        <v>0.17</v>
      </c>
      <c r="AJ33" s="110"/>
      <c r="AK33" s="71">
        <v>6.3</v>
      </c>
      <c r="AL33" s="71">
        <v>12.1</v>
      </c>
      <c r="AM33" s="71">
        <v>7.9</v>
      </c>
      <c r="AN33" s="71"/>
      <c r="AO33" s="71"/>
      <c r="AP33" s="71"/>
      <c r="AQ33" s="71">
        <v>1</v>
      </c>
      <c r="AR33" s="71">
        <v>1</v>
      </c>
      <c r="AS33" s="71">
        <v>0</v>
      </c>
      <c r="AT33" s="71"/>
      <c r="AU33" s="71" t="s">
        <v>634</v>
      </c>
    </row>
    <row r="34" spans="1:47" s="61" customFormat="1" ht="14" x14ac:dyDescent="0.2">
      <c r="A34" s="71">
        <v>13369656</v>
      </c>
      <c r="B34" s="112">
        <v>20662</v>
      </c>
      <c r="C34" s="71">
        <v>0</v>
      </c>
      <c r="D34" s="76">
        <v>43241</v>
      </c>
      <c r="E34" s="71">
        <v>0</v>
      </c>
      <c r="F34" s="73">
        <v>13369645</v>
      </c>
      <c r="G34" s="71"/>
      <c r="H34" s="71" t="s">
        <v>495</v>
      </c>
      <c r="I34" s="72">
        <v>43132</v>
      </c>
      <c r="J34" s="110">
        <v>1</v>
      </c>
      <c r="K34" s="110">
        <v>4</v>
      </c>
      <c r="L34" s="71"/>
      <c r="M34" s="71">
        <v>0</v>
      </c>
      <c r="N34" s="71">
        <v>0</v>
      </c>
      <c r="O34" s="71">
        <v>1</v>
      </c>
      <c r="P34" s="71">
        <v>17</v>
      </c>
      <c r="Q34" s="71">
        <v>6</v>
      </c>
      <c r="R34" s="71">
        <v>0</v>
      </c>
      <c r="S34" s="68"/>
      <c r="T34" s="71">
        <v>1</v>
      </c>
      <c r="U34" s="71" t="s">
        <v>63</v>
      </c>
      <c r="V34" s="71">
        <v>7.9</v>
      </c>
      <c r="W34" s="71">
        <v>11.42</v>
      </c>
      <c r="X34" s="71">
        <v>8.67</v>
      </c>
      <c r="Y34" s="71">
        <v>2.5299999999999998</v>
      </c>
      <c r="Z34" s="71">
        <v>3.05</v>
      </c>
      <c r="AA34" s="71">
        <v>2.4900000000000002</v>
      </c>
      <c r="AB34" s="71">
        <v>2.2799999999999998</v>
      </c>
      <c r="AC34" s="71">
        <v>14.05</v>
      </c>
      <c r="AD34" s="71">
        <v>2.2400000000000002</v>
      </c>
      <c r="AE34" s="71">
        <v>0.55000000000000004</v>
      </c>
      <c r="AF34" s="71">
        <v>0.41</v>
      </c>
      <c r="AG34" s="71">
        <v>0.36</v>
      </c>
      <c r="AH34" s="71">
        <v>0.39</v>
      </c>
      <c r="AI34" s="71">
        <v>0.5</v>
      </c>
      <c r="AJ34" s="110"/>
      <c r="AK34" s="71">
        <v>9.5</v>
      </c>
      <c r="AL34" s="71">
        <v>10.7</v>
      </c>
      <c r="AM34" s="71">
        <v>8.8000000000000007</v>
      </c>
      <c r="AN34" s="71"/>
      <c r="AO34" s="71"/>
      <c r="AP34" s="71"/>
      <c r="AQ34" s="110">
        <v>1</v>
      </c>
      <c r="AR34" s="110">
        <v>1</v>
      </c>
      <c r="AS34" s="110">
        <v>0</v>
      </c>
      <c r="AT34" s="71" t="s">
        <v>496</v>
      </c>
      <c r="AU34" s="71"/>
    </row>
    <row r="35" spans="1:47" s="61" customFormat="1" ht="14" x14ac:dyDescent="0.2">
      <c r="A35" s="71">
        <v>13281843</v>
      </c>
      <c r="B35" s="112">
        <v>26351</v>
      </c>
      <c r="C35" s="71">
        <v>0</v>
      </c>
      <c r="D35" s="76">
        <v>43200.000011574099</v>
      </c>
      <c r="E35" s="71">
        <v>1</v>
      </c>
      <c r="F35" s="73">
        <v>13281810</v>
      </c>
      <c r="G35" s="71"/>
      <c r="H35" s="71" t="s">
        <v>497</v>
      </c>
      <c r="I35" s="112"/>
      <c r="J35" s="110">
        <v>1</v>
      </c>
      <c r="K35" s="110">
        <v>6</v>
      </c>
      <c r="L35" s="71" t="s">
        <v>498</v>
      </c>
      <c r="M35" s="71">
        <v>0</v>
      </c>
      <c r="N35" s="71">
        <v>0</v>
      </c>
      <c r="O35" s="71">
        <v>0</v>
      </c>
      <c r="P35" s="71">
        <v>12</v>
      </c>
      <c r="Q35" s="71">
        <v>0</v>
      </c>
      <c r="R35" s="71">
        <v>0</v>
      </c>
      <c r="S35" s="68"/>
      <c r="T35" s="71">
        <v>0</v>
      </c>
      <c r="U35" s="71"/>
      <c r="V35" s="71">
        <v>3.6</v>
      </c>
      <c r="W35" s="71">
        <v>3.89</v>
      </c>
      <c r="X35" s="71">
        <v>3.73</v>
      </c>
      <c r="Y35" s="71">
        <v>2.1800000000000002</v>
      </c>
      <c r="Z35" s="71">
        <v>1.74</v>
      </c>
      <c r="AA35" s="71">
        <v>1.68</v>
      </c>
      <c r="AB35" s="71">
        <v>1.46</v>
      </c>
      <c r="AC35" s="71">
        <v>1.92</v>
      </c>
      <c r="AD35" s="71">
        <v>0.66</v>
      </c>
      <c r="AE35" s="71">
        <v>0.55000000000000004</v>
      </c>
      <c r="AF35" s="71">
        <v>0.17</v>
      </c>
      <c r="AG35" s="71">
        <v>0.06</v>
      </c>
      <c r="AH35" s="71">
        <v>0.28999999999999998</v>
      </c>
      <c r="AI35" s="71">
        <v>0.06</v>
      </c>
      <c r="AJ35" s="110"/>
      <c r="AK35" s="71">
        <v>4.0999999999999996</v>
      </c>
      <c r="AL35" s="71">
        <v>9.3000000000000007</v>
      </c>
      <c r="AM35" s="71">
        <v>6.8</v>
      </c>
      <c r="AN35" s="71"/>
      <c r="AO35" s="71"/>
      <c r="AP35" s="71"/>
      <c r="AQ35" s="71">
        <v>1</v>
      </c>
      <c r="AR35" s="71">
        <v>1</v>
      </c>
      <c r="AS35" s="71">
        <v>0</v>
      </c>
      <c r="AT35" s="71"/>
      <c r="AU35" s="71"/>
    </row>
    <row r="36" spans="1:47" s="61" customFormat="1" ht="14" x14ac:dyDescent="0.2">
      <c r="A36" s="71">
        <v>13281865</v>
      </c>
      <c r="B36" s="112">
        <v>31475</v>
      </c>
      <c r="C36" s="71">
        <v>0</v>
      </c>
      <c r="D36" s="76">
        <v>43200.000011574099</v>
      </c>
      <c r="E36" s="71">
        <v>0</v>
      </c>
      <c r="F36" s="73">
        <v>13281810</v>
      </c>
      <c r="G36" s="71"/>
      <c r="H36" s="71" t="s">
        <v>506</v>
      </c>
      <c r="I36" s="72">
        <v>42919</v>
      </c>
      <c r="J36" s="110">
        <v>1</v>
      </c>
      <c r="K36" s="110">
        <v>6</v>
      </c>
      <c r="L36" s="71"/>
      <c r="M36" s="71">
        <v>0</v>
      </c>
      <c r="N36" s="71">
        <v>0</v>
      </c>
      <c r="O36" s="71">
        <v>0</v>
      </c>
      <c r="P36" s="71">
        <v>5</v>
      </c>
      <c r="Q36" s="71">
        <v>0</v>
      </c>
      <c r="R36" s="71">
        <v>1</v>
      </c>
      <c r="S36" s="71" t="s">
        <v>507</v>
      </c>
      <c r="T36" s="71">
        <v>0</v>
      </c>
      <c r="U36" s="71"/>
      <c r="V36" s="71">
        <v>5.08</v>
      </c>
      <c r="W36" s="71">
        <v>7.37</v>
      </c>
      <c r="X36" s="71">
        <v>5.09</v>
      </c>
      <c r="Y36" s="71">
        <v>3.04</v>
      </c>
      <c r="Z36" s="71">
        <v>1.79</v>
      </c>
      <c r="AA36" s="71">
        <v>1.4</v>
      </c>
      <c r="AB36" s="71">
        <v>1.33</v>
      </c>
      <c r="AC36" s="71">
        <v>5.49</v>
      </c>
      <c r="AD36" s="71">
        <v>1.08</v>
      </c>
      <c r="AE36" s="71">
        <v>0.85</v>
      </c>
      <c r="AF36" s="71">
        <v>0.66</v>
      </c>
      <c r="AG36" s="71">
        <v>0.25</v>
      </c>
      <c r="AH36" s="71">
        <v>0.16</v>
      </c>
      <c r="AI36" s="71">
        <v>7.0000000000000007E-2</v>
      </c>
      <c r="AJ36" s="110"/>
      <c r="AK36" s="71">
        <v>4.5999999999999996</v>
      </c>
      <c r="AL36" s="71">
        <v>6.2</v>
      </c>
      <c r="AM36" s="71">
        <v>7</v>
      </c>
      <c r="AN36" s="71"/>
      <c r="AO36" s="71"/>
      <c r="AP36" s="71"/>
      <c r="AQ36" s="71">
        <v>1</v>
      </c>
      <c r="AR36" s="71">
        <v>1</v>
      </c>
      <c r="AS36" s="71">
        <v>0</v>
      </c>
      <c r="AT36" s="71"/>
      <c r="AU36" s="71"/>
    </row>
    <row r="37" spans="1:47" s="61" customFormat="1" ht="14" x14ac:dyDescent="0.2">
      <c r="A37" s="71">
        <v>13268635</v>
      </c>
      <c r="B37" s="112">
        <v>19914</v>
      </c>
      <c r="C37" s="71">
        <v>1</v>
      </c>
      <c r="D37" s="76">
        <v>43153.708333333299</v>
      </c>
      <c r="E37" s="71">
        <v>1</v>
      </c>
      <c r="F37" s="71">
        <v>13267935</v>
      </c>
      <c r="G37" s="71"/>
      <c r="H37" s="71" t="s">
        <v>635</v>
      </c>
      <c r="I37" s="72">
        <v>42095</v>
      </c>
      <c r="J37" s="110">
        <v>1</v>
      </c>
      <c r="K37" s="110">
        <v>5</v>
      </c>
      <c r="L37" s="71" t="s">
        <v>636</v>
      </c>
      <c r="M37" s="71">
        <v>0</v>
      </c>
      <c r="N37" s="71">
        <v>0</v>
      </c>
      <c r="O37" s="71">
        <v>0</v>
      </c>
      <c r="P37" s="71">
        <v>15</v>
      </c>
      <c r="Q37" s="71">
        <v>0</v>
      </c>
      <c r="R37" s="71">
        <v>0</v>
      </c>
      <c r="S37" s="68"/>
      <c r="T37" s="71">
        <v>1</v>
      </c>
      <c r="U37" s="71" t="s">
        <v>637</v>
      </c>
      <c r="V37" s="71">
        <v>9.7200000000000006</v>
      </c>
      <c r="W37" s="71">
        <v>11.3</v>
      </c>
      <c r="X37" s="71">
        <v>5.21</v>
      </c>
      <c r="Y37" s="71">
        <v>1.86</v>
      </c>
      <c r="Z37" s="71">
        <v>1.02</v>
      </c>
      <c r="AA37" s="71">
        <v>1.01</v>
      </c>
      <c r="AB37" s="71">
        <v>0.92</v>
      </c>
      <c r="AC37" s="71"/>
      <c r="AD37" s="71"/>
      <c r="AE37" s="71">
        <v>0.35</v>
      </c>
      <c r="AF37" s="71">
        <v>0.15</v>
      </c>
      <c r="AG37" s="71">
        <v>0.16</v>
      </c>
      <c r="AH37" s="71">
        <v>0.04</v>
      </c>
      <c r="AI37" s="71">
        <v>0.28000000000000003</v>
      </c>
      <c r="AJ37" s="110"/>
      <c r="AK37" s="71">
        <v>9.6</v>
      </c>
      <c r="AL37" s="71">
        <v>8.3000000000000007</v>
      </c>
      <c r="AM37" s="71">
        <v>7.6</v>
      </c>
      <c r="AN37" s="71"/>
      <c r="AO37" s="71"/>
      <c r="AP37" s="71"/>
      <c r="AQ37" s="71">
        <v>1</v>
      </c>
      <c r="AR37" s="71">
        <v>1</v>
      </c>
      <c r="AS37" s="71">
        <v>0</v>
      </c>
      <c r="AT37" s="71"/>
      <c r="AU37" s="71" t="s">
        <v>638</v>
      </c>
    </row>
    <row r="38" spans="1:47" s="61" customFormat="1" ht="14" x14ac:dyDescent="0.2">
      <c r="A38" s="71">
        <v>13267143</v>
      </c>
      <c r="B38" s="72">
        <v>26848</v>
      </c>
      <c r="C38" s="71">
        <v>0</v>
      </c>
      <c r="D38" s="76">
        <v>43149.993055555598</v>
      </c>
      <c r="E38" s="71">
        <v>1</v>
      </c>
      <c r="F38" s="73">
        <v>13266874</v>
      </c>
      <c r="G38" s="71"/>
      <c r="H38" s="71"/>
      <c r="I38" s="112"/>
      <c r="J38" s="110"/>
      <c r="K38" s="110"/>
      <c r="L38" s="71"/>
      <c r="M38" s="71">
        <v>0</v>
      </c>
      <c r="N38" s="71">
        <v>0</v>
      </c>
      <c r="O38" s="110">
        <v>0</v>
      </c>
      <c r="P38" s="71">
        <v>13</v>
      </c>
      <c r="Q38" s="71">
        <v>0</v>
      </c>
      <c r="R38" s="110"/>
      <c r="S38" s="71"/>
      <c r="T38" s="110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110"/>
      <c r="AK38" s="71"/>
      <c r="AL38" s="71"/>
      <c r="AM38" s="71"/>
      <c r="AN38" s="71"/>
      <c r="AO38" s="71"/>
      <c r="AP38" s="71"/>
      <c r="AQ38" s="110"/>
      <c r="AR38" s="110"/>
      <c r="AS38" s="110"/>
      <c r="AT38" s="71"/>
      <c r="AU38" s="71"/>
    </row>
    <row r="39" spans="1:47" s="61" customFormat="1" ht="14" x14ac:dyDescent="0.2">
      <c r="A39" s="71">
        <v>13266513</v>
      </c>
      <c r="B39" s="112">
        <v>22749</v>
      </c>
      <c r="C39" s="71">
        <v>0</v>
      </c>
      <c r="D39" s="76">
        <v>43144.993055555598</v>
      </c>
      <c r="E39" s="71">
        <v>1</v>
      </c>
      <c r="F39" s="73">
        <v>13265710</v>
      </c>
      <c r="G39" s="71"/>
      <c r="H39" s="71" t="s">
        <v>50</v>
      </c>
      <c r="I39" s="72">
        <v>42736</v>
      </c>
      <c r="J39" s="110">
        <v>1</v>
      </c>
      <c r="K39" s="110">
        <v>5</v>
      </c>
      <c r="L39" s="71" t="s">
        <v>639</v>
      </c>
      <c r="M39" s="71">
        <v>0</v>
      </c>
      <c r="N39" s="71">
        <v>0</v>
      </c>
      <c r="O39" s="71">
        <v>1</v>
      </c>
      <c r="P39" s="71">
        <v>18</v>
      </c>
      <c r="Q39" s="71">
        <v>5</v>
      </c>
      <c r="R39" s="71">
        <v>0</v>
      </c>
      <c r="S39" s="68"/>
      <c r="T39" s="71">
        <v>0</v>
      </c>
      <c r="U39" s="71"/>
      <c r="V39" s="71">
        <v>5.12</v>
      </c>
      <c r="W39" s="71">
        <v>5.56</v>
      </c>
      <c r="X39" s="71">
        <v>2.17</v>
      </c>
      <c r="Y39" s="71">
        <v>1.54</v>
      </c>
      <c r="Z39" s="71">
        <v>1.43</v>
      </c>
      <c r="AA39" s="71">
        <v>1.44</v>
      </c>
      <c r="AB39" s="71">
        <v>1.1599999999999999</v>
      </c>
      <c r="AC39" s="71"/>
      <c r="AD39" s="71"/>
      <c r="AE39" s="71">
        <v>0.24</v>
      </c>
      <c r="AF39" s="71">
        <v>0.32</v>
      </c>
      <c r="AG39" s="71">
        <v>0.36</v>
      </c>
      <c r="AH39" s="71">
        <v>0.2</v>
      </c>
      <c r="AI39" s="71">
        <v>0.26</v>
      </c>
      <c r="AJ39" s="110"/>
      <c r="AK39" s="71">
        <v>10.199999999999999</v>
      </c>
      <c r="AL39" s="71">
        <v>7.3</v>
      </c>
      <c r="AM39" s="71">
        <v>6.7</v>
      </c>
      <c r="AN39" s="71"/>
      <c r="AO39" s="71"/>
      <c r="AP39" s="71"/>
      <c r="AQ39" s="110">
        <v>1</v>
      </c>
      <c r="AR39" s="110">
        <v>1</v>
      </c>
      <c r="AS39" s="110">
        <v>0</v>
      </c>
      <c r="AT39" s="71"/>
      <c r="AU39" s="71" t="s">
        <v>640</v>
      </c>
    </row>
    <row r="40" spans="1:47" s="61" customFormat="1" ht="14" x14ac:dyDescent="0.2">
      <c r="A40" s="71">
        <v>13266502</v>
      </c>
      <c r="B40" s="112">
        <v>26449</v>
      </c>
      <c r="C40" s="71">
        <v>0</v>
      </c>
      <c r="D40" s="76">
        <v>43144.993055555598</v>
      </c>
      <c r="E40" s="71">
        <v>0</v>
      </c>
      <c r="F40" s="73">
        <v>13265710</v>
      </c>
      <c r="G40" s="71"/>
      <c r="H40" s="71" t="s">
        <v>641</v>
      </c>
      <c r="I40" s="72">
        <v>42491</v>
      </c>
      <c r="J40" s="110">
        <v>1</v>
      </c>
      <c r="K40" s="110">
        <v>6</v>
      </c>
      <c r="L40" s="71" t="s">
        <v>642</v>
      </c>
      <c r="M40" s="71">
        <v>0</v>
      </c>
      <c r="N40" s="71">
        <v>1</v>
      </c>
      <c r="O40" s="71">
        <v>1</v>
      </c>
      <c r="P40" s="71">
        <v>13</v>
      </c>
      <c r="Q40" s="71">
        <v>2</v>
      </c>
      <c r="R40" s="71">
        <v>1</v>
      </c>
      <c r="S40" s="71" t="s">
        <v>644</v>
      </c>
      <c r="T40" s="71">
        <v>1</v>
      </c>
      <c r="U40" s="71" t="s">
        <v>637</v>
      </c>
      <c r="V40" s="71">
        <v>11.39</v>
      </c>
      <c r="W40" s="71">
        <v>10.029999999999999</v>
      </c>
      <c r="X40" s="71">
        <v>2.19</v>
      </c>
      <c r="Y40" s="71">
        <v>1.1100000000000001</v>
      </c>
      <c r="Z40" s="71">
        <v>1.33</v>
      </c>
      <c r="AA40" s="71">
        <v>1.34</v>
      </c>
      <c r="AB40" s="71">
        <v>1.1299999999999999</v>
      </c>
      <c r="AC40" s="71"/>
      <c r="AD40" s="71"/>
      <c r="AE40" s="71">
        <v>0.18</v>
      </c>
      <c r="AF40" s="71">
        <v>0.19</v>
      </c>
      <c r="AG40" s="71">
        <v>0.21</v>
      </c>
      <c r="AH40" s="71">
        <v>0.2</v>
      </c>
      <c r="AI40" s="71">
        <v>0.2</v>
      </c>
      <c r="AJ40" s="110"/>
      <c r="AK40" s="71">
        <v>12.2</v>
      </c>
      <c r="AL40" s="71">
        <v>7.6</v>
      </c>
      <c r="AM40" s="71">
        <v>13.9</v>
      </c>
      <c r="AN40" s="71"/>
      <c r="AO40" s="71"/>
      <c r="AP40" s="71"/>
      <c r="AQ40" s="110">
        <v>1</v>
      </c>
      <c r="AR40" s="110">
        <v>1</v>
      </c>
      <c r="AS40" s="110">
        <v>0</v>
      </c>
      <c r="AT40" s="71"/>
      <c r="AU40" s="71" t="s">
        <v>643</v>
      </c>
    </row>
    <row r="41" spans="1:47" s="61" customFormat="1" ht="14" x14ac:dyDescent="0.2">
      <c r="A41" s="71">
        <v>13266270</v>
      </c>
      <c r="B41" s="112">
        <v>30280</v>
      </c>
      <c r="C41" s="71">
        <v>0</v>
      </c>
      <c r="D41" s="76">
        <v>43142.916666666701</v>
      </c>
      <c r="E41" s="71">
        <v>1</v>
      </c>
      <c r="F41" s="73">
        <v>13266130</v>
      </c>
      <c r="G41" s="71"/>
      <c r="H41" s="71" t="s">
        <v>499</v>
      </c>
      <c r="I41" s="72">
        <v>42826</v>
      </c>
      <c r="J41" s="110">
        <v>0</v>
      </c>
      <c r="K41" s="110">
        <v>0</v>
      </c>
      <c r="L41" s="71"/>
      <c r="M41" s="110">
        <v>0</v>
      </c>
      <c r="N41" s="110">
        <v>0</v>
      </c>
      <c r="O41" s="110">
        <v>0</v>
      </c>
      <c r="P41" s="71">
        <v>15</v>
      </c>
      <c r="Q41" s="71">
        <v>0</v>
      </c>
      <c r="R41" s="71">
        <v>1</v>
      </c>
      <c r="S41" s="71" t="s">
        <v>500</v>
      </c>
      <c r="T41" s="71">
        <v>1</v>
      </c>
      <c r="U41" s="71" t="s">
        <v>501</v>
      </c>
      <c r="V41" s="71">
        <v>5.61</v>
      </c>
      <c r="W41" s="71">
        <v>6.88</v>
      </c>
      <c r="X41" s="71">
        <v>5.38</v>
      </c>
      <c r="Y41" s="71">
        <v>2.84</v>
      </c>
      <c r="Z41" s="71">
        <v>1.94</v>
      </c>
      <c r="AA41" s="71">
        <v>1.66</v>
      </c>
      <c r="AB41" s="71">
        <v>1.79</v>
      </c>
      <c r="AC41" s="71">
        <v>1.56</v>
      </c>
      <c r="AD41" s="71">
        <v>6.7</v>
      </c>
      <c r="AE41" s="71">
        <v>1.1399999999999999</v>
      </c>
      <c r="AF41" s="71">
        <v>1.1200000000000001</v>
      </c>
      <c r="AG41" s="71">
        <v>0.6</v>
      </c>
      <c r="AH41" s="71">
        <v>0.28999999999999998</v>
      </c>
      <c r="AI41" s="71">
        <v>0.32</v>
      </c>
      <c r="AJ41" s="110"/>
      <c r="AK41" s="71">
        <v>5.8</v>
      </c>
      <c r="AL41" s="71">
        <v>5.2</v>
      </c>
      <c r="AM41" s="71">
        <v>4.9000000000000004</v>
      </c>
      <c r="AN41" s="71"/>
      <c r="AO41" s="71"/>
      <c r="AP41" s="71"/>
      <c r="AQ41" s="71">
        <v>1</v>
      </c>
      <c r="AR41" s="71">
        <v>1</v>
      </c>
      <c r="AS41" s="71">
        <v>0</v>
      </c>
      <c r="AT41" s="71" t="s">
        <v>502</v>
      </c>
      <c r="AU41" s="71"/>
    </row>
    <row r="42" spans="1:47" s="61" customFormat="1" ht="14" x14ac:dyDescent="0.2">
      <c r="A42" s="71">
        <v>13266266</v>
      </c>
      <c r="B42" s="114">
        <v>27122</v>
      </c>
      <c r="C42" s="71">
        <v>0</v>
      </c>
      <c r="D42" s="76">
        <v>43142.916666666701</v>
      </c>
      <c r="E42" s="71">
        <v>0</v>
      </c>
      <c r="F42" s="73">
        <v>13266130</v>
      </c>
      <c r="G42" s="71"/>
      <c r="H42" s="71" t="s">
        <v>503</v>
      </c>
      <c r="I42" s="72">
        <v>40238</v>
      </c>
      <c r="J42" s="110">
        <v>1</v>
      </c>
      <c r="K42" s="110">
        <v>4</v>
      </c>
      <c r="L42" s="71"/>
      <c r="M42" s="71">
        <v>0</v>
      </c>
      <c r="N42" s="71">
        <v>0</v>
      </c>
      <c r="O42" s="71">
        <v>1</v>
      </c>
      <c r="P42" s="71">
        <v>16</v>
      </c>
      <c r="Q42" s="71">
        <v>2</v>
      </c>
      <c r="R42" s="71">
        <v>0</v>
      </c>
      <c r="S42" s="68"/>
      <c r="T42" s="71">
        <v>0</v>
      </c>
      <c r="U42" s="71" t="s">
        <v>504</v>
      </c>
      <c r="V42" s="71">
        <v>6.27</v>
      </c>
      <c r="W42" s="71">
        <v>7.38</v>
      </c>
      <c r="X42" s="71">
        <v>6.84</v>
      </c>
      <c r="Y42" s="71">
        <v>2.1</v>
      </c>
      <c r="Z42" s="71">
        <v>1.4</v>
      </c>
      <c r="AA42" s="71">
        <v>1.33</v>
      </c>
      <c r="AB42" s="71">
        <v>1.41</v>
      </c>
      <c r="AC42" s="71">
        <v>10.23</v>
      </c>
      <c r="AD42" s="71">
        <v>0.81</v>
      </c>
      <c r="AE42" s="71">
        <v>0.6</v>
      </c>
      <c r="AF42" s="71">
        <v>0.28000000000000003</v>
      </c>
      <c r="AG42" s="71">
        <v>0.16</v>
      </c>
      <c r="AH42" s="71">
        <v>0.08</v>
      </c>
      <c r="AI42" s="71">
        <v>0.12</v>
      </c>
      <c r="AJ42" s="110"/>
      <c r="AK42" s="71">
        <v>11.9</v>
      </c>
      <c r="AL42" s="71">
        <v>13.4</v>
      </c>
      <c r="AM42" s="71">
        <v>7.8</v>
      </c>
      <c r="AN42" s="71"/>
      <c r="AO42" s="71"/>
      <c r="AP42" s="71"/>
      <c r="AQ42" s="71">
        <v>1</v>
      </c>
      <c r="AR42" s="71">
        <v>1</v>
      </c>
      <c r="AS42" s="71">
        <v>0</v>
      </c>
      <c r="AT42" s="71" t="s">
        <v>505</v>
      </c>
      <c r="AU42" s="71"/>
    </row>
    <row r="43" spans="1:47" s="61" customFormat="1" ht="14" x14ac:dyDescent="0.2">
      <c r="A43" s="71">
        <v>13410186</v>
      </c>
      <c r="B43" s="112">
        <v>24260</v>
      </c>
      <c r="C43" s="71">
        <v>1</v>
      </c>
      <c r="D43" s="76">
        <v>43881.927083333299</v>
      </c>
      <c r="E43" s="71">
        <v>1</v>
      </c>
      <c r="F43" s="73">
        <v>13535044</v>
      </c>
      <c r="G43" s="71"/>
      <c r="H43" s="71" t="s">
        <v>645</v>
      </c>
      <c r="I43" s="72">
        <v>43009</v>
      </c>
      <c r="J43" s="110">
        <v>1</v>
      </c>
      <c r="K43" s="110">
        <v>6</v>
      </c>
      <c r="L43" s="71"/>
      <c r="M43" s="71">
        <v>0</v>
      </c>
      <c r="N43" s="71">
        <v>0</v>
      </c>
      <c r="O43" s="71">
        <v>0</v>
      </c>
      <c r="P43" s="71">
        <v>8</v>
      </c>
      <c r="Q43" s="71">
        <v>0</v>
      </c>
      <c r="R43" s="71">
        <v>0</v>
      </c>
      <c r="S43" s="68"/>
      <c r="T43" s="71">
        <v>0</v>
      </c>
      <c r="U43" s="71"/>
      <c r="V43" s="71">
        <v>6.49</v>
      </c>
      <c r="W43" s="71">
        <v>7.49</v>
      </c>
      <c r="X43" s="71">
        <v>3.04</v>
      </c>
      <c r="Y43" s="71">
        <v>1.68</v>
      </c>
      <c r="Z43" s="71">
        <v>1.34</v>
      </c>
      <c r="AA43" s="71">
        <v>1.76</v>
      </c>
      <c r="AB43" s="71">
        <v>1.17</v>
      </c>
      <c r="AC43" s="71"/>
      <c r="AD43" s="71"/>
      <c r="AE43" s="71">
        <v>0.25</v>
      </c>
      <c r="AF43" s="71">
        <v>0.18</v>
      </c>
      <c r="AG43" s="71">
        <v>0.04</v>
      </c>
      <c r="AH43" s="71">
        <v>0.05</v>
      </c>
      <c r="AI43" s="71">
        <v>0.35</v>
      </c>
      <c r="AJ43" s="110"/>
      <c r="AK43" s="71">
        <v>8.9</v>
      </c>
      <c r="AL43" s="71">
        <v>6.7</v>
      </c>
      <c r="AM43" s="71">
        <v>12.2</v>
      </c>
      <c r="AN43" s="71"/>
      <c r="AO43" s="71"/>
      <c r="AP43" s="71"/>
      <c r="AQ43" s="110">
        <v>1</v>
      </c>
      <c r="AR43" s="110">
        <v>1</v>
      </c>
      <c r="AS43" s="110">
        <v>0</v>
      </c>
      <c r="AT43" s="71"/>
      <c r="AU43" s="71" t="s">
        <v>646</v>
      </c>
    </row>
    <row r="44" spans="1:47" s="61" customFormat="1" ht="14" x14ac:dyDescent="0.2">
      <c r="A44" s="71">
        <v>13517592</v>
      </c>
      <c r="B44" s="72">
        <v>26069</v>
      </c>
      <c r="C44" s="71">
        <v>1</v>
      </c>
      <c r="D44" s="76">
        <v>45212</v>
      </c>
      <c r="E44" s="71">
        <v>1</v>
      </c>
      <c r="F44" s="77">
        <v>14122985</v>
      </c>
      <c r="G44" s="71"/>
      <c r="H44" s="71" t="s">
        <v>832</v>
      </c>
      <c r="I44" s="72">
        <v>43800</v>
      </c>
      <c r="J44" s="110">
        <v>1</v>
      </c>
      <c r="K44" s="110">
        <v>3</v>
      </c>
      <c r="L44" s="71" t="s">
        <v>840</v>
      </c>
      <c r="M44" s="71">
        <v>0</v>
      </c>
      <c r="N44" s="71">
        <v>0</v>
      </c>
      <c r="O44" s="71">
        <v>0</v>
      </c>
      <c r="P44" s="110">
        <v>14</v>
      </c>
      <c r="Q44" s="110">
        <v>0</v>
      </c>
      <c r="R44" s="71">
        <v>0</v>
      </c>
      <c r="S44" s="68"/>
      <c r="T44" s="71">
        <v>0</v>
      </c>
      <c r="U44" s="71"/>
      <c r="V44" s="71">
        <v>4.8099999999999996</v>
      </c>
      <c r="W44" s="71">
        <v>3.93</v>
      </c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110"/>
      <c r="AK44" s="71"/>
      <c r="AL44" s="71"/>
      <c r="AM44" s="71"/>
      <c r="AN44" s="71"/>
      <c r="AO44" s="71"/>
      <c r="AP44" s="71"/>
      <c r="AQ44" s="110"/>
      <c r="AR44" s="110"/>
      <c r="AS44" s="110"/>
      <c r="AT44" s="71"/>
      <c r="AU44" s="71"/>
    </row>
    <row r="45" spans="1:47" s="61" customFormat="1" ht="14" x14ac:dyDescent="0.2">
      <c r="A45" s="71">
        <v>13477401</v>
      </c>
      <c r="B45" s="72">
        <v>23977</v>
      </c>
      <c r="C45" s="71">
        <v>1</v>
      </c>
      <c r="D45" s="76">
        <v>45212</v>
      </c>
      <c r="E45" s="71">
        <v>0</v>
      </c>
      <c r="F45" s="77">
        <v>14122985</v>
      </c>
      <c r="G45" s="71"/>
      <c r="H45" s="71" t="s">
        <v>832</v>
      </c>
      <c r="I45" s="72">
        <v>43647</v>
      </c>
      <c r="J45" s="110">
        <v>1</v>
      </c>
      <c r="K45" s="110">
        <v>4</v>
      </c>
      <c r="L45" s="71" t="s">
        <v>841</v>
      </c>
      <c r="M45" s="71">
        <v>0</v>
      </c>
      <c r="N45" s="71">
        <v>0</v>
      </c>
      <c r="O45" s="71">
        <v>0</v>
      </c>
      <c r="P45" s="110">
        <v>11</v>
      </c>
      <c r="Q45" s="110">
        <v>0</v>
      </c>
      <c r="R45" s="71">
        <v>0</v>
      </c>
      <c r="S45" s="68"/>
      <c r="T45" s="71">
        <v>0</v>
      </c>
      <c r="U45" s="71"/>
      <c r="V45" s="71">
        <v>8.5399999999999991</v>
      </c>
      <c r="W45" s="71">
        <v>7.64</v>
      </c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110"/>
      <c r="AK45" s="71"/>
      <c r="AL45" s="71"/>
      <c r="AM45" s="71"/>
      <c r="AN45" s="71"/>
      <c r="AO45" s="71"/>
      <c r="AP45" s="71"/>
      <c r="AQ45" s="110"/>
      <c r="AR45" s="110"/>
      <c r="AS45" s="110"/>
      <c r="AT45" s="71" t="s">
        <v>886</v>
      </c>
      <c r="AU45" s="71"/>
    </row>
    <row r="46" spans="1:47" s="61" customFormat="1" ht="14" x14ac:dyDescent="0.2">
      <c r="A46" s="71">
        <v>13802223</v>
      </c>
      <c r="B46" s="72">
        <v>20960</v>
      </c>
      <c r="C46" s="71">
        <v>1</v>
      </c>
      <c r="D46" s="76">
        <v>45050</v>
      </c>
      <c r="E46" s="71">
        <v>1</v>
      </c>
      <c r="F46" s="77">
        <v>14068212</v>
      </c>
      <c r="G46" s="71"/>
      <c r="H46" s="71" t="s">
        <v>833</v>
      </c>
      <c r="I46" s="72">
        <v>44166</v>
      </c>
      <c r="J46" s="110">
        <v>1</v>
      </c>
      <c r="K46" s="110">
        <v>5</v>
      </c>
      <c r="L46" s="71" t="s">
        <v>842</v>
      </c>
      <c r="M46" s="71">
        <v>0</v>
      </c>
      <c r="N46" s="71">
        <v>0</v>
      </c>
      <c r="O46" s="71">
        <v>1</v>
      </c>
      <c r="P46" s="71">
        <v>21</v>
      </c>
      <c r="Q46" s="71">
        <v>1</v>
      </c>
      <c r="R46" s="71">
        <v>1</v>
      </c>
      <c r="S46" s="71" t="s">
        <v>70</v>
      </c>
      <c r="T46" s="71">
        <v>0</v>
      </c>
      <c r="U46" s="71"/>
      <c r="V46" s="71">
        <v>8.61</v>
      </c>
      <c r="W46" s="71">
        <v>9.61</v>
      </c>
      <c r="X46" s="71">
        <v>2.4700000000000002</v>
      </c>
      <c r="Y46" s="71">
        <v>2.27</v>
      </c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110"/>
      <c r="AK46" s="71"/>
      <c r="AL46" s="71"/>
      <c r="AM46" s="71"/>
      <c r="AN46" s="71"/>
      <c r="AO46" s="71"/>
      <c r="AP46" s="71"/>
      <c r="AQ46" s="110"/>
      <c r="AR46" s="110"/>
      <c r="AS46" s="110"/>
      <c r="AT46" s="71"/>
      <c r="AU46" s="71"/>
    </row>
  </sheetData>
  <autoFilter ref="A1:AS46" xr:uid="{00000000-0009-0000-0000-000002000000}"/>
  <pageMargins left="0.75" right="0.75" top="1" bottom="1" header="0.5" footer="0.5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8"/>
  <sheetViews>
    <sheetView topLeftCell="A6" workbookViewId="0">
      <selection activeCell="D36" sqref="D36"/>
    </sheetView>
  </sheetViews>
  <sheetFormatPr baseColWidth="10" defaultRowHeight="16" x14ac:dyDescent="0.2"/>
  <sheetData>
    <row r="1" spans="1:1" x14ac:dyDescent="0.2">
      <c r="A1" t="s">
        <v>135</v>
      </c>
    </row>
    <row r="3" spans="1:1" x14ac:dyDescent="0.2">
      <c r="A3" t="s">
        <v>103</v>
      </c>
    </row>
    <row r="4" spans="1:1" x14ac:dyDescent="0.2">
      <c r="A4" t="s">
        <v>104</v>
      </c>
    </row>
    <row r="7" spans="1:1" x14ac:dyDescent="0.2">
      <c r="A7" t="s">
        <v>136</v>
      </c>
    </row>
    <row r="9" spans="1:1" x14ac:dyDescent="0.2">
      <c r="A9" t="s">
        <v>137</v>
      </c>
    </row>
    <row r="10" spans="1:1" x14ac:dyDescent="0.2">
      <c r="A10" t="s">
        <v>138</v>
      </c>
    </row>
    <row r="13" spans="1:1" x14ac:dyDescent="0.2">
      <c r="A13" t="s">
        <v>146</v>
      </c>
    </row>
    <row r="15" spans="1:1" x14ac:dyDescent="0.2">
      <c r="A15" t="s">
        <v>184</v>
      </c>
    </row>
    <row r="16" spans="1:1" x14ac:dyDescent="0.2">
      <c r="A16" t="s">
        <v>185</v>
      </c>
    </row>
    <row r="18" spans="1:4" x14ac:dyDescent="0.2">
      <c r="A18" t="s">
        <v>147</v>
      </c>
    </row>
    <row r="20" spans="1:4" x14ac:dyDescent="0.2">
      <c r="A20" t="s">
        <v>184</v>
      </c>
    </row>
    <row r="21" spans="1:4" x14ac:dyDescent="0.2">
      <c r="A21" t="s">
        <v>185</v>
      </c>
    </row>
    <row r="23" spans="1:4" x14ac:dyDescent="0.2">
      <c r="A23" t="s">
        <v>148</v>
      </c>
      <c r="D23" t="s">
        <v>149</v>
      </c>
    </row>
    <row r="24" spans="1:4" x14ac:dyDescent="0.2">
      <c r="D24" t="s">
        <v>204</v>
      </c>
    </row>
    <row r="25" spans="1:4" x14ac:dyDescent="0.2">
      <c r="A25" t="s">
        <v>184</v>
      </c>
      <c r="D25" t="s">
        <v>205</v>
      </c>
    </row>
    <row r="26" spans="1:4" x14ac:dyDescent="0.2">
      <c r="A26" t="s">
        <v>185</v>
      </c>
    </row>
    <row r="28" spans="1:4" x14ac:dyDescent="0.2">
      <c r="D28" t="s">
        <v>150</v>
      </c>
    </row>
    <row r="29" spans="1:4" x14ac:dyDescent="0.2">
      <c r="D29" t="s">
        <v>206</v>
      </c>
    </row>
    <row r="30" spans="1:4" x14ac:dyDescent="0.2">
      <c r="D30" t="s">
        <v>207</v>
      </c>
    </row>
    <row r="32" spans="1:4" x14ac:dyDescent="0.2">
      <c r="D32" t="s">
        <v>201</v>
      </c>
    </row>
    <row r="33" spans="1:4" x14ac:dyDescent="0.2">
      <c r="D33" t="s">
        <v>202</v>
      </c>
    </row>
    <row r="34" spans="1:4" x14ac:dyDescent="0.2">
      <c r="D34" t="s">
        <v>203</v>
      </c>
    </row>
    <row r="36" spans="1:4" x14ac:dyDescent="0.2">
      <c r="A36" t="s">
        <v>151</v>
      </c>
    </row>
    <row r="38" spans="1:4" x14ac:dyDescent="0.2">
      <c r="A38" t="s">
        <v>184</v>
      </c>
    </row>
    <row r="39" spans="1:4" x14ac:dyDescent="0.2">
      <c r="A39" t="s">
        <v>185</v>
      </c>
    </row>
    <row r="41" spans="1:4" x14ac:dyDescent="0.2">
      <c r="A41" t="s">
        <v>152</v>
      </c>
    </row>
    <row r="43" spans="1:4" x14ac:dyDescent="0.2">
      <c r="A43" t="s">
        <v>184</v>
      </c>
    </row>
    <row r="44" spans="1:4" x14ac:dyDescent="0.2">
      <c r="A44" t="s">
        <v>185</v>
      </c>
    </row>
    <row r="46" spans="1:4" x14ac:dyDescent="0.2">
      <c r="A46" t="s">
        <v>153</v>
      </c>
    </row>
    <row r="48" spans="1:4" x14ac:dyDescent="0.2">
      <c r="A48" t="s">
        <v>154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G547"/>
  <sheetViews>
    <sheetView topLeftCell="A551" workbookViewId="0">
      <selection activeCell="C189" sqref="C189"/>
    </sheetView>
  </sheetViews>
  <sheetFormatPr baseColWidth="10" defaultRowHeight="16" x14ac:dyDescent="0.2"/>
  <sheetData>
    <row r="4" spans="1:1" x14ac:dyDescent="0.2">
      <c r="A4" t="s">
        <v>102</v>
      </c>
    </row>
    <row r="6" spans="1:1" x14ac:dyDescent="0.2">
      <c r="A6" t="s">
        <v>103</v>
      </c>
    </row>
    <row r="7" spans="1:1" x14ac:dyDescent="0.2">
      <c r="A7" t="s">
        <v>104</v>
      </c>
    </row>
    <row r="10" spans="1:1" x14ac:dyDescent="0.2">
      <c r="A10" t="s">
        <v>105</v>
      </c>
    </row>
    <row r="12" spans="1:1" x14ac:dyDescent="0.2">
      <c r="A12" t="s">
        <v>106</v>
      </c>
    </row>
    <row r="13" spans="1:1" x14ac:dyDescent="0.2">
      <c r="A13" t="s">
        <v>107</v>
      </c>
    </row>
    <row r="14" spans="1:1" x14ac:dyDescent="0.2">
      <c r="A14" t="s">
        <v>108</v>
      </c>
    </row>
    <row r="15" spans="1:1" x14ac:dyDescent="0.2">
      <c r="A15" t="s">
        <v>109</v>
      </c>
    </row>
    <row r="17" spans="1:1" x14ac:dyDescent="0.2">
      <c r="A17" t="s">
        <v>1</v>
      </c>
    </row>
    <row r="19" spans="1:1" x14ac:dyDescent="0.2">
      <c r="A19" t="s">
        <v>110</v>
      </c>
    </row>
    <row r="20" spans="1:1" x14ac:dyDescent="0.2">
      <c r="A20" t="s">
        <v>111</v>
      </c>
    </row>
    <row r="22" spans="1:1" x14ac:dyDescent="0.2">
      <c r="A22" t="s">
        <v>112</v>
      </c>
    </row>
    <row r="24" spans="1:1" x14ac:dyDescent="0.2">
      <c r="A24" t="s">
        <v>113</v>
      </c>
    </row>
    <row r="25" spans="1:1" x14ac:dyDescent="0.2">
      <c r="A25" t="s">
        <v>114</v>
      </c>
    </row>
    <row r="27" spans="1:1" x14ac:dyDescent="0.2">
      <c r="A27" t="s">
        <v>123</v>
      </c>
    </row>
    <row r="29" spans="1:1" x14ac:dyDescent="0.2">
      <c r="A29" t="s">
        <v>115</v>
      </c>
    </row>
    <row r="31" spans="1:1" x14ac:dyDescent="0.2">
      <c r="A31" t="s">
        <v>116</v>
      </c>
    </row>
    <row r="33" spans="1:1" x14ac:dyDescent="0.2">
      <c r="A33" t="s">
        <v>117</v>
      </c>
    </row>
    <row r="34" spans="1:1" x14ac:dyDescent="0.2">
      <c r="A34" t="s">
        <v>118</v>
      </c>
    </row>
    <row r="35" spans="1:1" x14ac:dyDescent="0.2">
      <c r="A35" t="s">
        <v>119</v>
      </c>
    </row>
    <row r="36" spans="1:1" x14ac:dyDescent="0.2">
      <c r="A36" t="s">
        <v>12</v>
      </c>
    </row>
    <row r="37" spans="1:1" x14ac:dyDescent="0.2">
      <c r="A37" t="s">
        <v>120</v>
      </c>
    </row>
    <row r="38" spans="1:1" x14ac:dyDescent="0.2">
      <c r="A38" t="s">
        <v>121</v>
      </c>
    </row>
    <row r="39" spans="1:1" x14ac:dyDescent="0.2">
      <c r="A39" t="s">
        <v>16</v>
      </c>
    </row>
    <row r="41" spans="1:1" x14ac:dyDescent="0.2">
      <c r="A41" t="s">
        <v>122</v>
      </c>
    </row>
    <row r="42" spans="1:1" x14ac:dyDescent="0.2">
      <c r="A42" t="s">
        <v>14</v>
      </c>
    </row>
    <row r="43" spans="1:1" x14ac:dyDescent="0.2">
      <c r="A43" t="s">
        <v>15</v>
      </c>
    </row>
    <row r="45" spans="1:1" x14ac:dyDescent="0.2">
      <c r="A45" t="s">
        <v>13</v>
      </c>
    </row>
    <row r="47" spans="1:1" x14ac:dyDescent="0.2">
      <c r="A47" t="s">
        <v>117</v>
      </c>
    </row>
    <row r="48" spans="1:1" x14ac:dyDescent="0.2">
      <c r="A48" t="s">
        <v>118</v>
      </c>
    </row>
    <row r="49" spans="1:1" x14ac:dyDescent="0.2">
      <c r="A49" t="s">
        <v>119</v>
      </c>
    </row>
    <row r="50" spans="1:1" x14ac:dyDescent="0.2">
      <c r="A50" t="s">
        <v>12</v>
      </c>
    </row>
    <row r="51" spans="1:1" x14ac:dyDescent="0.2">
      <c r="A51" t="s">
        <v>120</v>
      </c>
    </row>
    <row r="52" spans="1:1" x14ac:dyDescent="0.2">
      <c r="A52" t="s">
        <v>121</v>
      </c>
    </row>
    <row r="53" spans="1:1" x14ac:dyDescent="0.2">
      <c r="A53" t="s">
        <v>17</v>
      </c>
    </row>
    <row r="55" spans="1:1" x14ac:dyDescent="0.2">
      <c r="A55" t="s">
        <v>124</v>
      </c>
    </row>
    <row r="57" spans="1:1" x14ac:dyDescent="0.2">
      <c r="A57" t="s">
        <v>18</v>
      </c>
    </row>
    <row r="58" spans="1:1" x14ac:dyDescent="0.2">
      <c r="A58" t="s">
        <v>19</v>
      </c>
    </row>
    <row r="59" spans="1:1" x14ac:dyDescent="0.2">
      <c r="A59" t="s">
        <v>20</v>
      </c>
    </row>
    <row r="61" spans="1:1" x14ac:dyDescent="0.2">
      <c r="A61" t="s">
        <v>23</v>
      </c>
    </row>
    <row r="63" spans="1:1" x14ac:dyDescent="0.2">
      <c r="A63" t="s">
        <v>21</v>
      </c>
    </row>
    <row r="64" spans="1:1" x14ac:dyDescent="0.2">
      <c r="A64" t="s">
        <v>22</v>
      </c>
    </row>
    <row r="66" spans="1:1" x14ac:dyDescent="0.2">
      <c r="A66" t="s">
        <v>24</v>
      </c>
    </row>
    <row r="68" spans="1:1" x14ac:dyDescent="0.2">
      <c r="A68" t="s">
        <v>25</v>
      </c>
    </row>
    <row r="69" spans="1:1" x14ac:dyDescent="0.2">
      <c r="A69" t="s">
        <v>26</v>
      </c>
    </row>
    <row r="70" spans="1:1" x14ac:dyDescent="0.2">
      <c r="A70" t="s">
        <v>228</v>
      </c>
    </row>
    <row r="72" spans="1:1" x14ac:dyDescent="0.2">
      <c r="A72" t="s">
        <v>27</v>
      </c>
    </row>
    <row r="74" spans="1:1" x14ac:dyDescent="0.2">
      <c r="A74" t="s">
        <v>28</v>
      </c>
    </row>
    <row r="75" spans="1:1" x14ac:dyDescent="0.2">
      <c r="A75" t="s">
        <v>22</v>
      </c>
    </row>
    <row r="77" spans="1:1" x14ac:dyDescent="0.2">
      <c r="A77" t="s">
        <v>125</v>
      </c>
    </row>
    <row r="79" spans="1:1" x14ac:dyDescent="0.2">
      <c r="A79" t="s">
        <v>126</v>
      </c>
    </row>
    <row r="80" spans="1:1" x14ac:dyDescent="0.2">
      <c r="A80" t="s">
        <v>127</v>
      </c>
    </row>
    <row r="81" spans="1:1" x14ac:dyDescent="0.2">
      <c r="A81" t="s">
        <v>128</v>
      </c>
    </row>
    <row r="84" spans="1:1" x14ac:dyDescent="0.2">
      <c r="A84" t="s">
        <v>34</v>
      </c>
    </row>
    <row r="86" spans="1:1" x14ac:dyDescent="0.2">
      <c r="A86" t="s">
        <v>169</v>
      </c>
    </row>
    <row r="87" spans="1:1" x14ac:dyDescent="0.2">
      <c r="A87" t="s">
        <v>170</v>
      </c>
    </row>
    <row r="89" spans="1:1" x14ac:dyDescent="0.2">
      <c r="A89" t="s">
        <v>35</v>
      </c>
    </row>
    <row r="91" spans="1:1" x14ac:dyDescent="0.2">
      <c r="A91" t="s">
        <v>169</v>
      </c>
    </row>
    <row r="92" spans="1:1" x14ac:dyDescent="0.2">
      <c r="A92" t="s">
        <v>170</v>
      </c>
    </row>
    <row r="94" spans="1:1" x14ac:dyDescent="0.2">
      <c r="A94" t="s">
        <v>36</v>
      </c>
    </row>
    <row r="96" spans="1:1" x14ac:dyDescent="0.2">
      <c r="A96" t="s">
        <v>37</v>
      </c>
    </row>
    <row r="98" spans="1:1" x14ac:dyDescent="0.2">
      <c r="A98" t="s">
        <v>129</v>
      </c>
    </row>
    <row r="100" spans="1:1" x14ac:dyDescent="0.2">
      <c r="A100" t="s">
        <v>130</v>
      </c>
    </row>
    <row r="101" spans="1:1" x14ac:dyDescent="0.2">
      <c r="A101" t="s">
        <v>131</v>
      </c>
    </row>
    <row r="103" spans="1:1" x14ac:dyDescent="0.2">
      <c r="A103" t="s">
        <v>38</v>
      </c>
    </row>
    <row r="105" spans="1:1" x14ac:dyDescent="0.2">
      <c r="A105" t="s">
        <v>39</v>
      </c>
    </row>
    <row r="106" spans="1:1" x14ac:dyDescent="0.2">
      <c r="A106" t="s">
        <v>40</v>
      </c>
    </row>
    <row r="110" spans="1:1" x14ac:dyDescent="0.2">
      <c r="A110" t="s">
        <v>5</v>
      </c>
    </row>
    <row r="113" spans="1:1" x14ac:dyDescent="0.2">
      <c r="A113" t="s">
        <v>29</v>
      </c>
    </row>
    <row r="114" spans="1:1" x14ac:dyDescent="0.2">
      <c r="A114" t="s">
        <v>30</v>
      </c>
    </row>
    <row r="116" spans="1:1" x14ac:dyDescent="0.2">
      <c r="A116" t="s">
        <v>6</v>
      </c>
    </row>
    <row r="118" spans="1:1" x14ac:dyDescent="0.2">
      <c r="A118" t="s">
        <v>31</v>
      </c>
    </row>
    <row r="119" spans="1:1" x14ac:dyDescent="0.2">
      <c r="A119" t="s">
        <v>32</v>
      </c>
    </row>
    <row r="121" spans="1:1" x14ac:dyDescent="0.2">
      <c r="A121" t="s">
        <v>5</v>
      </c>
    </row>
    <row r="123" spans="1:1" x14ac:dyDescent="0.2">
      <c r="A123" t="s">
        <v>169</v>
      </c>
    </row>
    <row r="124" spans="1:1" x14ac:dyDescent="0.2">
      <c r="A124" t="s">
        <v>170</v>
      </c>
    </row>
    <row r="128" spans="1:1" x14ac:dyDescent="0.2">
      <c r="A128" t="s">
        <v>33</v>
      </c>
    </row>
    <row r="130" spans="1:1" x14ac:dyDescent="0.2">
      <c r="A130" t="s">
        <v>169</v>
      </c>
    </row>
    <row r="131" spans="1:1" x14ac:dyDescent="0.2">
      <c r="A131" t="s">
        <v>170</v>
      </c>
    </row>
    <row r="134" spans="1:1" x14ac:dyDescent="0.2">
      <c r="A134" t="s">
        <v>41</v>
      </c>
    </row>
    <row r="136" spans="1:1" x14ac:dyDescent="0.2">
      <c r="A136" t="s">
        <v>169</v>
      </c>
    </row>
    <row r="137" spans="1:1" x14ac:dyDescent="0.2">
      <c r="A137" t="s">
        <v>170</v>
      </c>
    </row>
    <row r="139" spans="1:1" x14ac:dyDescent="0.2">
      <c r="A139" t="s">
        <v>42</v>
      </c>
    </row>
    <row r="141" spans="1:1" x14ac:dyDescent="0.2">
      <c r="A141" t="s">
        <v>169</v>
      </c>
    </row>
    <row r="142" spans="1:1" x14ac:dyDescent="0.2">
      <c r="A142" t="s">
        <v>170</v>
      </c>
    </row>
    <row r="144" spans="1:1" x14ac:dyDescent="0.2">
      <c r="A144" t="s">
        <v>94</v>
      </c>
    </row>
    <row r="146" spans="1:7" x14ac:dyDescent="0.2">
      <c r="A146" s="6" t="s">
        <v>96</v>
      </c>
      <c r="B146" s="6"/>
      <c r="C146" s="6"/>
      <c r="D146" s="6" t="s">
        <v>222</v>
      </c>
      <c r="E146" s="6"/>
      <c r="F146" s="6"/>
      <c r="G146" s="6"/>
    </row>
    <row r="148" spans="1:7" x14ac:dyDescent="0.2">
      <c r="A148" t="s">
        <v>98</v>
      </c>
    </row>
    <row r="150" spans="1:7" x14ac:dyDescent="0.2">
      <c r="A150" t="s">
        <v>169</v>
      </c>
    </row>
    <row r="151" spans="1:7" x14ac:dyDescent="0.2">
      <c r="A151" t="s">
        <v>170</v>
      </c>
    </row>
    <row r="155" spans="1:7" x14ac:dyDescent="0.2">
      <c r="A155" t="s">
        <v>97</v>
      </c>
    </row>
    <row r="157" spans="1:7" x14ac:dyDescent="0.2">
      <c r="A157" s="6" t="s">
        <v>96</v>
      </c>
      <c r="B157" s="6"/>
      <c r="C157" s="6"/>
      <c r="D157" s="6" t="s">
        <v>222</v>
      </c>
      <c r="E157" s="6"/>
      <c r="F157" s="6"/>
      <c r="G157" s="6"/>
    </row>
    <row r="159" spans="1:7" x14ac:dyDescent="0.2">
      <c r="A159" t="s">
        <v>99</v>
      </c>
    </row>
    <row r="161" spans="1:7" x14ac:dyDescent="0.2">
      <c r="A161" t="s">
        <v>169</v>
      </c>
    </row>
    <row r="162" spans="1:7" x14ac:dyDescent="0.2">
      <c r="A162" t="s">
        <v>170</v>
      </c>
    </row>
    <row r="164" spans="1:7" x14ac:dyDescent="0.2">
      <c r="A164" t="s">
        <v>100</v>
      </c>
    </row>
    <row r="166" spans="1:7" x14ac:dyDescent="0.2">
      <c r="A166" s="6" t="s">
        <v>101</v>
      </c>
      <c r="B166" s="6"/>
      <c r="C166" s="6"/>
      <c r="D166" s="6" t="s">
        <v>222</v>
      </c>
      <c r="E166" s="6"/>
      <c r="F166" s="6"/>
      <c r="G166" s="6"/>
    </row>
    <row r="182" spans="1:1" x14ac:dyDescent="0.2">
      <c r="A182" t="s">
        <v>157</v>
      </c>
    </row>
    <row r="185" spans="1:1" x14ac:dyDescent="0.2">
      <c r="A185" t="s">
        <v>11</v>
      </c>
    </row>
    <row r="186" spans="1:1" x14ac:dyDescent="0.2">
      <c r="A186" s="1" t="s">
        <v>7</v>
      </c>
    </row>
    <row r="187" spans="1:1" x14ac:dyDescent="0.2">
      <c r="A187" s="1" t="s">
        <v>8</v>
      </c>
    </row>
    <row r="188" spans="1:1" x14ac:dyDescent="0.2">
      <c r="A188" s="1" t="s">
        <v>9</v>
      </c>
    </row>
    <row r="189" spans="1:1" x14ac:dyDescent="0.2">
      <c r="A189" s="1" t="s">
        <v>10</v>
      </c>
    </row>
    <row r="190" spans="1:1" x14ac:dyDescent="0.2">
      <c r="A190" s="1" t="s">
        <v>219</v>
      </c>
    </row>
    <row r="191" spans="1:1" x14ac:dyDescent="0.2">
      <c r="A191" s="1" t="s">
        <v>220</v>
      </c>
    </row>
    <row r="194" spans="1:1" x14ac:dyDescent="0.2">
      <c r="A194" s="1" t="s">
        <v>252</v>
      </c>
    </row>
    <row r="196" spans="1:1" x14ac:dyDescent="0.2">
      <c r="A196" t="s">
        <v>253</v>
      </c>
    </row>
    <row r="197" spans="1:1" x14ac:dyDescent="0.2">
      <c r="A197" t="s">
        <v>254</v>
      </c>
    </row>
    <row r="198" spans="1:1" x14ac:dyDescent="0.2">
      <c r="A198" t="s">
        <v>255</v>
      </c>
    </row>
    <row r="199" spans="1:1" x14ac:dyDescent="0.2">
      <c r="A199" t="s">
        <v>256</v>
      </c>
    </row>
    <row r="200" spans="1:1" x14ac:dyDescent="0.2">
      <c r="A200" t="s">
        <v>257</v>
      </c>
    </row>
    <row r="201" spans="1:1" x14ac:dyDescent="0.2">
      <c r="A201" t="s">
        <v>258</v>
      </c>
    </row>
    <row r="202" spans="1:1" x14ac:dyDescent="0.2">
      <c r="A202" t="s">
        <v>259</v>
      </c>
    </row>
    <row r="203" spans="1:1" x14ac:dyDescent="0.2">
      <c r="A203" t="s">
        <v>260</v>
      </c>
    </row>
    <row r="205" spans="1:1" x14ac:dyDescent="0.2">
      <c r="A205" t="s">
        <v>230</v>
      </c>
    </row>
    <row r="206" spans="1:1" x14ac:dyDescent="0.2">
      <c r="A206" t="s">
        <v>261</v>
      </c>
    </row>
    <row r="207" spans="1:1" x14ac:dyDescent="0.2">
      <c r="A207" t="s">
        <v>262</v>
      </c>
    </row>
    <row r="208" spans="1:1" x14ac:dyDescent="0.2">
      <c r="A208" t="s">
        <v>263</v>
      </c>
    </row>
    <row r="211" spans="1:1" x14ac:dyDescent="0.2">
      <c r="A211" t="s">
        <v>264</v>
      </c>
    </row>
    <row r="213" spans="1:1" x14ac:dyDescent="0.2">
      <c r="A213" t="s">
        <v>265</v>
      </c>
    </row>
    <row r="214" spans="1:1" x14ac:dyDescent="0.2">
      <c r="A214" t="s">
        <v>266</v>
      </c>
    </row>
    <row r="218" spans="1:1" x14ac:dyDescent="0.2">
      <c r="A218" t="s">
        <v>306</v>
      </c>
    </row>
    <row r="220" spans="1:1" x14ac:dyDescent="0.2">
      <c r="A220" t="s">
        <v>307</v>
      </c>
    </row>
    <row r="221" spans="1:1" x14ac:dyDescent="0.2">
      <c r="A221" t="s">
        <v>308</v>
      </c>
    </row>
    <row r="223" spans="1:1" x14ac:dyDescent="0.2">
      <c r="A223" t="s">
        <v>273</v>
      </c>
    </row>
    <row r="224" spans="1:1" x14ac:dyDescent="0.2">
      <c r="A224" t="s">
        <v>309</v>
      </c>
    </row>
    <row r="225" spans="1:1" x14ac:dyDescent="0.2">
      <c r="A225" t="s">
        <v>310</v>
      </c>
    </row>
    <row r="226" spans="1:1" x14ac:dyDescent="0.2">
      <c r="A226" t="s">
        <v>311</v>
      </c>
    </row>
    <row r="227" spans="1:1" x14ac:dyDescent="0.2">
      <c r="A227" t="s">
        <v>312</v>
      </c>
    </row>
    <row r="229" spans="1:1" x14ac:dyDescent="0.2">
      <c r="A229" t="s">
        <v>274</v>
      </c>
    </row>
    <row r="231" spans="1:1" x14ac:dyDescent="0.2">
      <c r="A231" t="s">
        <v>313</v>
      </c>
    </row>
    <row r="232" spans="1:1" x14ac:dyDescent="0.2">
      <c r="A232" t="s">
        <v>314</v>
      </c>
    </row>
    <row r="233" spans="1:1" x14ac:dyDescent="0.2">
      <c r="A233" t="s">
        <v>315</v>
      </c>
    </row>
    <row r="234" spans="1:1" x14ac:dyDescent="0.2">
      <c r="A234" t="s">
        <v>316</v>
      </c>
    </row>
    <row r="236" spans="1:1" x14ac:dyDescent="0.2">
      <c r="A236" t="s">
        <v>275</v>
      </c>
    </row>
    <row r="238" spans="1:1" x14ac:dyDescent="0.2">
      <c r="A238" t="s">
        <v>170</v>
      </c>
    </row>
    <row r="239" spans="1:1" x14ac:dyDescent="0.2">
      <c r="A239" t="s">
        <v>317</v>
      </c>
    </row>
    <row r="240" spans="1:1" x14ac:dyDescent="0.2">
      <c r="A240" t="s">
        <v>311</v>
      </c>
    </row>
    <row r="241" spans="1:1" x14ac:dyDescent="0.2">
      <c r="A241" t="s">
        <v>312</v>
      </c>
    </row>
    <row r="243" spans="1:1" x14ac:dyDescent="0.2">
      <c r="A243" t="s">
        <v>276</v>
      </c>
    </row>
    <row r="245" spans="1:1" x14ac:dyDescent="0.2">
      <c r="A245" t="s">
        <v>318</v>
      </c>
    </row>
    <row r="246" spans="1:1" x14ac:dyDescent="0.2">
      <c r="A246" t="s">
        <v>319</v>
      </c>
    </row>
    <row r="247" spans="1:1" x14ac:dyDescent="0.2">
      <c r="A247" t="s">
        <v>320</v>
      </c>
    </row>
    <row r="248" spans="1:1" x14ac:dyDescent="0.2">
      <c r="A248" t="s">
        <v>321</v>
      </c>
    </row>
    <row r="249" spans="1:1" x14ac:dyDescent="0.2">
      <c r="A249" t="s">
        <v>322</v>
      </c>
    </row>
    <row r="250" spans="1:1" x14ac:dyDescent="0.2">
      <c r="A250" t="s">
        <v>323</v>
      </c>
    </row>
    <row r="251" spans="1:1" x14ac:dyDescent="0.2">
      <c r="A251" t="s">
        <v>324</v>
      </c>
    </row>
    <row r="252" spans="1:1" x14ac:dyDescent="0.2">
      <c r="A252" t="s">
        <v>325</v>
      </c>
    </row>
    <row r="253" spans="1:1" x14ac:dyDescent="0.2">
      <c r="A253" t="s">
        <v>326</v>
      </c>
    </row>
    <row r="254" spans="1:1" x14ac:dyDescent="0.2">
      <c r="A254" t="s">
        <v>327</v>
      </c>
    </row>
    <row r="255" spans="1:1" x14ac:dyDescent="0.2">
      <c r="A255" t="s">
        <v>328</v>
      </c>
    </row>
    <row r="257" spans="1:1" x14ac:dyDescent="0.2">
      <c r="A257" t="s">
        <v>329</v>
      </c>
    </row>
    <row r="259" spans="1:1" x14ac:dyDescent="0.2">
      <c r="A259" t="s">
        <v>330</v>
      </c>
    </row>
    <row r="260" spans="1:1" x14ac:dyDescent="0.2">
      <c r="A260" t="s">
        <v>331</v>
      </c>
    </row>
    <row r="261" spans="1:1" x14ac:dyDescent="0.2">
      <c r="A261" t="s">
        <v>332</v>
      </c>
    </row>
    <row r="262" spans="1:1" x14ac:dyDescent="0.2">
      <c r="A262" t="s">
        <v>333</v>
      </c>
    </row>
    <row r="263" spans="1:1" x14ac:dyDescent="0.2">
      <c r="A263" t="s">
        <v>334</v>
      </c>
    </row>
    <row r="264" spans="1:1" x14ac:dyDescent="0.2">
      <c r="A264" t="s">
        <v>335</v>
      </c>
    </row>
    <row r="265" spans="1:1" x14ac:dyDescent="0.2">
      <c r="A265" t="s">
        <v>336</v>
      </c>
    </row>
    <row r="266" spans="1:1" x14ac:dyDescent="0.2">
      <c r="A266" t="s">
        <v>337</v>
      </c>
    </row>
    <row r="267" spans="1:1" x14ac:dyDescent="0.2">
      <c r="A267" t="s">
        <v>338</v>
      </c>
    </row>
    <row r="268" spans="1:1" x14ac:dyDescent="0.2">
      <c r="A268" t="s">
        <v>339</v>
      </c>
    </row>
    <row r="269" spans="1:1" x14ac:dyDescent="0.2">
      <c r="A269" t="s">
        <v>340</v>
      </c>
    </row>
    <row r="271" spans="1:1" x14ac:dyDescent="0.2">
      <c r="A271" t="s">
        <v>277</v>
      </c>
    </row>
    <row r="273" spans="1:1" x14ac:dyDescent="0.2">
      <c r="A273" t="s">
        <v>170</v>
      </c>
    </row>
    <row r="274" spans="1:1" x14ac:dyDescent="0.2">
      <c r="A274" t="s">
        <v>317</v>
      </c>
    </row>
    <row r="275" spans="1:1" x14ac:dyDescent="0.2">
      <c r="A275" t="s">
        <v>311</v>
      </c>
    </row>
    <row r="276" spans="1:1" x14ac:dyDescent="0.2">
      <c r="A276" t="s">
        <v>312</v>
      </c>
    </row>
    <row r="278" spans="1:1" x14ac:dyDescent="0.2">
      <c r="A278" t="s">
        <v>278</v>
      </c>
    </row>
    <row r="280" spans="1:1" x14ac:dyDescent="0.2">
      <c r="A280" t="s">
        <v>341</v>
      </c>
    </row>
    <row r="281" spans="1:1" x14ac:dyDescent="0.2">
      <c r="A281" t="s">
        <v>342</v>
      </c>
    </row>
    <row r="282" spans="1:1" x14ac:dyDescent="0.2">
      <c r="A282" t="s">
        <v>343</v>
      </c>
    </row>
    <row r="283" spans="1:1" x14ac:dyDescent="0.2">
      <c r="A283" t="s">
        <v>344</v>
      </c>
    </row>
    <row r="284" spans="1:1" x14ac:dyDescent="0.2">
      <c r="A284" t="s">
        <v>345</v>
      </c>
    </row>
    <row r="285" spans="1:1" x14ac:dyDescent="0.2">
      <c r="A285" t="s">
        <v>315</v>
      </c>
    </row>
    <row r="286" spans="1:1" x14ac:dyDescent="0.2">
      <c r="A286" t="s">
        <v>346</v>
      </c>
    </row>
    <row r="287" spans="1:1" x14ac:dyDescent="0.2">
      <c r="A287" t="s">
        <v>347</v>
      </c>
    </row>
    <row r="289" spans="1:1" x14ac:dyDescent="0.2">
      <c r="A289" t="s">
        <v>279</v>
      </c>
    </row>
    <row r="291" spans="1:1" x14ac:dyDescent="0.2">
      <c r="A291" t="s">
        <v>170</v>
      </c>
    </row>
    <row r="292" spans="1:1" x14ac:dyDescent="0.2">
      <c r="A292" t="s">
        <v>317</v>
      </c>
    </row>
    <row r="293" spans="1:1" x14ac:dyDescent="0.2">
      <c r="A293" t="s">
        <v>311</v>
      </c>
    </row>
    <row r="294" spans="1:1" x14ac:dyDescent="0.2">
      <c r="A294" t="s">
        <v>312</v>
      </c>
    </row>
    <row r="296" spans="1:1" x14ac:dyDescent="0.2">
      <c r="A296" t="s">
        <v>280</v>
      </c>
    </row>
    <row r="298" spans="1:1" x14ac:dyDescent="0.2">
      <c r="A298" t="s">
        <v>348</v>
      </c>
    </row>
    <row r="299" spans="1:1" x14ac:dyDescent="0.2">
      <c r="A299" t="s">
        <v>349</v>
      </c>
    </row>
    <row r="300" spans="1:1" x14ac:dyDescent="0.2">
      <c r="A300" t="s">
        <v>350</v>
      </c>
    </row>
    <row r="301" spans="1:1" x14ac:dyDescent="0.2">
      <c r="A301" t="s">
        <v>315</v>
      </c>
    </row>
    <row r="302" spans="1:1" x14ac:dyDescent="0.2">
      <c r="A302" t="s">
        <v>316</v>
      </c>
    </row>
    <row r="304" spans="1:1" x14ac:dyDescent="0.2">
      <c r="A304" t="s">
        <v>281</v>
      </c>
    </row>
    <row r="306" spans="1:1" x14ac:dyDescent="0.2">
      <c r="A306" t="s">
        <v>351</v>
      </c>
    </row>
    <row r="307" spans="1:1" x14ac:dyDescent="0.2">
      <c r="A307" t="s">
        <v>352</v>
      </c>
    </row>
    <row r="308" spans="1:1" x14ac:dyDescent="0.2">
      <c r="A308" t="s">
        <v>353</v>
      </c>
    </row>
    <row r="309" spans="1:1" x14ac:dyDescent="0.2">
      <c r="A309" t="s">
        <v>354</v>
      </c>
    </row>
    <row r="310" spans="1:1" x14ac:dyDescent="0.2">
      <c r="A310" t="s">
        <v>355</v>
      </c>
    </row>
    <row r="311" spans="1:1" x14ac:dyDescent="0.2">
      <c r="A311" t="s">
        <v>356</v>
      </c>
    </row>
    <row r="312" spans="1:1" x14ac:dyDescent="0.2">
      <c r="A312" t="s">
        <v>357</v>
      </c>
    </row>
    <row r="314" spans="1:1" x14ac:dyDescent="0.2">
      <c r="A314" t="s">
        <v>282</v>
      </c>
    </row>
    <row r="316" spans="1:1" x14ac:dyDescent="0.2">
      <c r="A316" t="s">
        <v>358</v>
      </c>
    </row>
    <row r="317" spans="1:1" x14ac:dyDescent="0.2">
      <c r="A317" t="s">
        <v>359</v>
      </c>
    </row>
    <row r="318" spans="1:1" x14ac:dyDescent="0.2">
      <c r="A318" t="s">
        <v>360</v>
      </c>
    </row>
    <row r="319" spans="1:1" x14ac:dyDescent="0.2">
      <c r="A319" t="s">
        <v>361</v>
      </c>
    </row>
    <row r="320" spans="1:1" x14ac:dyDescent="0.2">
      <c r="A320" t="s">
        <v>362</v>
      </c>
    </row>
    <row r="321" spans="1:1" x14ac:dyDescent="0.2">
      <c r="A321" t="s">
        <v>363</v>
      </c>
    </row>
    <row r="322" spans="1:1" x14ac:dyDescent="0.2">
      <c r="A322" t="s">
        <v>364</v>
      </c>
    </row>
    <row r="323" spans="1:1" x14ac:dyDescent="0.2">
      <c r="A323" t="s">
        <v>365</v>
      </c>
    </row>
    <row r="325" spans="1:1" x14ac:dyDescent="0.2">
      <c r="A325" t="s">
        <v>283</v>
      </c>
    </row>
    <row r="328" spans="1:1" x14ac:dyDescent="0.2">
      <c r="A328" t="s">
        <v>170</v>
      </c>
    </row>
    <row r="329" spans="1:1" x14ac:dyDescent="0.2">
      <c r="A329" t="s">
        <v>317</v>
      </c>
    </row>
    <row r="330" spans="1:1" x14ac:dyDescent="0.2">
      <c r="A330" t="s">
        <v>366</v>
      </c>
    </row>
    <row r="331" spans="1:1" x14ac:dyDescent="0.2">
      <c r="A331" t="s">
        <v>367</v>
      </c>
    </row>
    <row r="332" spans="1:1" x14ac:dyDescent="0.2">
      <c r="A332" t="s">
        <v>312</v>
      </c>
    </row>
    <row r="335" spans="1:1" x14ac:dyDescent="0.2">
      <c r="A335" t="s">
        <v>284</v>
      </c>
    </row>
    <row r="337" spans="1:1" x14ac:dyDescent="0.2">
      <c r="A337" t="s">
        <v>368</v>
      </c>
    </row>
    <row r="338" spans="1:1" x14ac:dyDescent="0.2">
      <c r="A338" t="s">
        <v>369</v>
      </c>
    </row>
    <row r="339" spans="1:1" x14ac:dyDescent="0.2">
      <c r="A339" t="s">
        <v>370</v>
      </c>
    </row>
    <row r="341" spans="1:1" x14ac:dyDescent="0.2">
      <c r="A341" t="s">
        <v>285</v>
      </c>
    </row>
    <row r="343" spans="1:1" x14ac:dyDescent="0.2">
      <c r="A343" t="s">
        <v>371</v>
      </c>
    </row>
    <row r="344" spans="1:1" x14ac:dyDescent="0.2">
      <c r="A344" t="s">
        <v>372</v>
      </c>
    </row>
    <row r="345" spans="1:1" x14ac:dyDescent="0.2">
      <c r="A345" t="s">
        <v>373</v>
      </c>
    </row>
    <row r="346" spans="1:1" x14ac:dyDescent="0.2">
      <c r="A346" t="s">
        <v>374</v>
      </c>
    </row>
    <row r="347" spans="1:1" x14ac:dyDescent="0.2">
      <c r="A347" t="s">
        <v>375</v>
      </c>
    </row>
    <row r="348" spans="1:1" x14ac:dyDescent="0.2">
      <c r="A348" t="s">
        <v>376</v>
      </c>
    </row>
    <row r="349" spans="1:1" x14ac:dyDescent="0.2">
      <c r="A349" t="s">
        <v>316</v>
      </c>
    </row>
    <row r="351" spans="1:1" x14ac:dyDescent="0.2">
      <c r="A351" t="s">
        <v>286</v>
      </c>
    </row>
    <row r="353" spans="1:1" x14ac:dyDescent="0.2">
      <c r="A353" t="s">
        <v>377</v>
      </c>
    </row>
    <row r="354" spans="1:1" x14ac:dyDescent="0.2">
      <c r="A354" t="s">
        <v>378</v>
      </c>
    </row>
    <row r="355" spans="1:1" x14ac:dyDescent="0.2">
      <c r="A355" t="s">
        <v>379</v>
      </c>
    </row>
    <row r="356" spans="1:1" x14ac:dyDescent="0.2">
      <c r="A356" t="s">
        <v>380</v>
      </c>
    </row>
    <row r="357" spans="1:1" x14ac:dyDescent="0.2">
      <c r="A357" t="s">
        <v>381</v>
      </c>
    </row>
    <row r="358" spans="1:1" x14ac:dyDescent="0.2">
      <c r="A358" t="s">
        <v>315</v>
      </c>
    </row>
    <row r="359" spans="1:1" x14ac:dyDescent="0.2">
      <c r="A359" t="s">
        <v>376</v>
      </c>
    </row>
    <row r="361" spans="1:1" x14ac:dyDescent="0.2">
      <c r="A361" t="s">
        <v>287</v>
      </c>
    </row>
    <row r="363" spans="1:1" x14ac:dyDescent="0.2">
      <c r="A363" t="s">
        <v>382</v>
      </c>
    </row>
    <row r="364" spans="1:1" x14ac:dyDescent="0.2">
      <c r="A364" t="s">
        <v>383</v>
      </c>
    </row>
    <row r="365" spans="1:1" x14ac:dyDescent="0.2">
      <c r="A365" t="s">
        <v>384</v>
      </c>
    </row>
    <row r="366" spans="1:1" x14ac:dyDescent="0.2">
      <c r="A366" t="s">
        <v>385</v>
      </c>
    </row>
    <row r="367" spans="1:1" x14ac:dyDescent="0.2">
      <c r="A367" t="s">
        <v>386</v>
      </c>
    </row>
    <row r="368" spans="1:1" x14ac:dyDescent="0.2">
      <c r="A368" t="s">
        <v>387</v>
      </c>
    </row>
    <row r="369" spans="1:1" x14ac:dyDescent="0.2">
      <c r="A369" t="s">
        <v>388</v>
      </c>
    </row>
    <row r="371" spans="1:1" x14ac:dyDescent="0.2">
      <c r="A371" t="s">
        <v>288</v>
      </c>
    </row>
    <row r="373" spans="1:1" x14ac:dyDescent="0.2">
      <c r="A373" t="s">
        <v>389</v>
      </c>
    </row>
    <row r="374" spans="1:1" x14ac:dyDescent="0.2">
      <c r="A374" t="s">
        <v>390</v>
      </c>
    </row>
    <row r="375" spans="1:1" x14ac:dyDescent="0.2">
      <c r="A375" t="s">
        <v>391</v>
      </c>
    </row>
    <row r="376" spans="1:1" x14ac:dyDescent="0.2">
      <c r="A376" t="s">
        <v>355</v>
      </c>
    </row>
    <row r="377" spans="1:1" x14ac:dyDescent="0.2">
      <c r="A377" t="s">
        <v>356</v>
      </c>
    </row>
    <row r="378" spans="1:1" x14ac:dyDescent="0.2">
      <c r="A378" t="s">
        <v>357</v>
      </c>
    </row>
    <row r="380" spans="1:1" x14ac:dyDescent="0.2">
      <c r="A380" t="s">
        <v>289</v>
      </c>
    </row>
    <row r="382" spans="1:1" x14ac:dyDescent="0.2">
      <c r="A382" t="s">
        <v>392</v>
      </c>
    </row>
    <row r="383" spans="1:1" x14ac:dyDescent="0.2">
      <c r="A383" t="s">
        <v>393</v>
      </c>
    </row>
    <row r="384" spans="1:1" x14ac:dyDescent="0.2">
      <c r="A384" t="s">
        <v>394</v>
      </c>
    </row>
    <row r="385" spans="1:1" x14ac:dyDescent="0.2">
      <c r="A385" t="s">
        <v>395</v>
      </c>
    </row>
    <row r="386" spans="1:1" x14ac:dyDescent="0.2">
      <c r="A386" t="s">
        <v>396</v>
      </c>
    </row>
    <row r="387" spans="1:1" x14ac:dyDescent="0.2">
      <c r="A387" t="s">
        <v>363</v>
      </c>
    </row>
    <row r="388" spans="1:1" x14ac:dyDescent="0.2">
      <c r="A388" t="s">
        <v>355</v>
      </c>
    </row>
    <row r="389" spans="1:1" x14ac:dyDescent="0.2">
      <c r="A389" t="s">
        <v>356</v>
      </c>
    </row>
    <row r="390" spans="1:1" x14ac:dyDescent="0.2">
      <c r="A390" t="s">
        <v>328</v>
      </c>
    </row>
    <row r="393" spans="1:1" x14ac:dyDescent="0.2">
      <c r="A393" t="s">
        <v>290</v>
      </c>
    </row>
    <row r="394" spans="1:1" x14ac:dyDescent="0.2">
      <c r="A394" t="s">
        <v>397</v>
      </c>
    </row>
    <row r="395" spans="1:1" x14ac:dyDescent="0.2">
      <c r="A395" t="s">
        <v>398</v>
      </c>
    </row>
    <row r="396" spans="1:1" x14ac:dyDescent="0.2">
      <c r="A396" t="s">
        <v>399</v>
      </c>
    </row>
    <row r="398" spans="1:1" x14ac:dyDescent="0.2">
      <c r="A398" t="s">
        <v>291</v>
      </c>
    </row>
    <row r="400" spans="1:1" x14ac:dyDescent="0.2">
      <c r="A400" t="s">
        <v>368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356</v>
      </c>
    </row>
    <row r="408" spans="1:1" x14ac:dyDescent="0.2">
      <c r="A408" t="s">
        <v>292</v>
      </c>
    </row>
    <row r="410" spans="1:1" x14ac:dyDescent="0.2">
      <c r="A410" t="s">
        <v>405</v>
      </c>
    </row>
    <row r="411" spans="1:1" x14ac:dyDescent="0.2">
      <c r="A411" t="s">
        <v>406</v>
      </c>
    </row>
    <row r="412" spans="1:1" x14ac:dyDescent="0.2">
      <c r="A412" t="s">
        <v>384</v>
      </c>
    </row>
    <row r="413" spans="1:1" x14ac:dyDescent="0.2">
      <c r="A413" t="s">
        <v>385</v>
      </c>
    </row>
    <row r="414" spans="1:1" x14ac:dyDescent="0.2">
      <c r="A414" t="s">
        <v>407</v>
      </c>
    </row>
    <row r="415" spans="1:1" x14ac:dyDescent="0.2">
      <c r="A415" t="s">
        <v>408</v>
      </c>
    </row>
    <row r="416" spans="1:1" x14ac:dyDescent="0.2">
      <c r="A416" t="s">
        <v>409</v>
      </c>
    </row>
    <row r="418" spans="1:1" x14ac:dyDescent="0.2">
      <c r="A418" t="s">
        <v>293</v>
      </c>
    </row>
    <row r="420" spans="1:1" x14ac:dyDescent="0.2">
      <c r="A420" t="s">
        <v>410</v>
      </c>
    </row>
    <row r="421" spans="1:1" x14ac:dyDescent="0.2">
      <c r="A421" t="s">
        <v>411</v>
      </c>
    </row>
    <row r="422" spans="1:1" x14ac:dyDescent="0.2">
      <c r="A422" t="s">
        <v>412</v>
      </c>
    </row>
    <row r="423" spans="1:1" x14ac:dyDescent="0.2">
      <c r="A423" t="s">
        <v>413</v>
      </c>
    </row>
    <row r="424" spans="1:1" x14ac:dyDescent="0.2">
      <c r="A424" t="s">
        <v>414</v>
      </c>
    </row>
    <row r="425" spans="1:1" x14ac:dyDescent="0.2">
      <c r="A425" t="s">
        <v>415</v>
      </c>
    </row>
    <row r="426" spans="1:1" x14ac:dyDescent="0.2">
      <c r="A426" t="s">
        <v>355</v>
      </c>
    </row>
    <row r="427" spans="1:1" x14ac:dyDescent="0.2">
      <c r="A427" t="s">
        <v>328</v>
      </c>
    </row>
    <row r="429" spans="1:1" x14ac:dyDescent="0.2">
      <c r="A429" t="s">
        <v>294</v>
      </c>
    </row>
    <row r="430" spans="1:1" x14ac:dyDescent="0.2">
      <c r="A430" t="s">
        <v>377</v>
      </c>
    </row>
    <row r="431" spans="1:1" x14ac:dyDescent="0.2">
      <c r="A431" t="s">
        <v>416</v>
      </c>
    </row>
    <row r="432" spans="1:1" x14ac:dyDescent="0.2">
      <c r="A432" t="s">
        <v>339</v>
      </c>
    </row>
    <row r="433" spans="1:1" x14ac:dyDescent="0.2">
      <c r="A433" t="s">
        <v>417</v>
      </c>
    </row>
    <row r="436" spans="1:1" x14ac:dyDescent="0.2">
      <c r="A436" t="s">
        <v>295</v>
      </c>
    </row>
    <row r="438" spans="1:1" x14ac:dyDescent="0.2">
      <c r="A438" t="s">
        <v>418</v>
      </c>
    </row>
    <row r="439" spans="1:1" x14ac:dyDescent="0.2">
      <c r="A439" t="s">
        <v>419</v>
      </c>
    </row>
    <row r="440" spans="1:1" x14ac:dyDescent="0.2">
      <c r="A440" t="s">
        <v>420</v>
      </c>
    </row>
    <row r="441" spans="1:1" x14ac:dyDescent="0.2">
      <c r="A441" t="s">
        <v>355</v>
      </c>
    </row>
    <row r="442" spans="1:1" x14ac:dyDescent="0.2">
      <c r="A442" t="s">
        <v>356</v>
      </c>
    </row>
    <row r="443" spans="1:1" x14ac:dyDescent="0.2">
      <c r="A443" t="s">
        <v>328</v>
      </c>
    </row>
    <row r="446" spans="1:1" x14ac:dyDescent="0.2">
      <c r="A446" t="s">
        <v>296</v>
      </c>
    </row>
    <row r="448" spans="1:1" x14ac:dyDescent="0.2">
      <c r="A448" t="s">
        <v>421</v>
      </c>
    </row>
    <row r="449" spans="1:1" x14ac:dyDescent="0.2">
      <c r="A449" t="s">
        <v>422</v>
      </c>
    </row>
    <row r="450" spans="1:1" x14ac:dyDescent="0.2">
      <c r="A450" t="s">
        <v>423</v>
      </c>
    </row>
    <row r="451" spans="1:1" x14ac:dyDescent="0.2">
      <c r="A451" t="s">
        <v>355</v>
      </c>
    </row>
    <row r="452" spans="1:1" x14ac:dyDescent="0.2">
      <c r="A452" t="s">
        <v>356</v>
      </c>
    </row>
    <row r="453" spans="1:1" x14ac:dyDescent="0.2">
      <c r="A453" t="s">
        <v>328</v>
      </c>
    </row>
    <row r="455" spans="1:1" x14ac:dyDescent="0.2">
      <c r="A455" t="s">
        <v>297</v>
      </c>
    </row>
    <row r="457" spans="1:1" x14ac:dyDescent="0.2">
      <c r="A457" t="s">
        <v>377</v>
      </c>
    </row>
    <row r="458" spans="1:1" x14ac:dyDescent="0.2">
      <c r="A458" t="s">
        <v>416</v>
      </c>
    </row>
    <row r="459" spans="1:1" x14ac:dyDescent="0.2">
      <c r="A459" t="s">
        <v>424</v>
      </c>
    </row>
    <row r="461" spans="1:1" x14ac:dyDescent="0.2">
      <c r="A461" t="s">
        <v>425</v>
      </c>
    </row>
    <row r="462" spans="1:1" x14ac:dyDescent="0.2">
      <c r="A462" t="s">
        <v>426</v>
      </c>
    </row>
    <row r="463" spans="1:1" x14ac:dyDescent="0.2">
      <c r="A463" t="s">
        <v>427</v>
      </c>
    </row>
    <row r="464" spans="1:1" x14ac:dyDescent="0.2">
      <c r="A464" t="s">
        <v>428</v>
      </c>
    </row>
    <row r="465" spans="1:1" x14ac:dyDescent="0.2">
      <c r="A465" t="s">
        <v>429</v>
      </c>
    </row>
    <row r="466" spans="1:1" x14ac:dyDescent="0.2">
      <c r="A466" t="s">
        <v>430</v>
      </c>
    </row>
    <row r="467" spans="1:1" x14ac:dyDescent="0.2">
      <c r="A467" t="s">
        <v>431</v>
      </c>
    </row>
    <row r="468" spans="1:1" x14ac:dyDescent="0.2">
      <c r="A468" t="s">
        <v>432</v>
      </c>
    </row>
    <row r="469" spans="1:1" x14ac:dyDescent="0.2">
      <c r="A469" t="s">
        <v>433</v>
      </c>
    </row>
    <row r="470" spans="1:1" x14ac:dyDescent="0.2">
      <c r="A470" t="s">
        <v>434</v>
      </c>
    </row>
    <row r="471" spans="1:1" x14ac:dyDescent="0.2">
      <c r="A471" t="s">
        <v>435</v>
      </c>
    </row>
    <row r="475" spans="1:1" x14ac:dyDescent="0.2">
      <c r="A475" t="s">
        <v>436</v>
      </c>
    </row>
    <row r="477" spans="1:1" x14ac:dyDescent="0.2">
      <c r="A477" t="s">
        <v>437</v>
      </c>
    </row>
    <row r="478" spans="1:1" x14ac:dyDescent="0.2">
      <c r="A478" t="s">
        <v>438</v>
      </c>
    </row>
    <row r="479" spans="1:1" x14ac:dyDescent="0.2">
      <c r="A479" t="s">
        <v>439</v>
      </c>
    </row>
    <row r="480" spans="1:1" x14ac:dyDescent="0.2">
      <c r="A480" t="s">
        <v>440</v>
      </c>
    </row>
    <row r="481" spans="1:1" x14ac:dyDescent="0.2">
      <c r="A481" t="s">
        <v>441</v>
      </c>
    </row>
    <row r="482" spans="1:1" x14ac:dyDescent="0.2">
      <c r="A482" t="s">
        <v>442</v>
      </c>
    </row>
    <row r="483" spans="1:1" x14ac:dyDescent="0.2">
      <c r="A483" t="s">
        <v>328</v>
      </c>
    </row>
    <row r="485" spans="1:1" x14ac:dyDescent="0.2">
      <c r="A485" t="s">
        <v>443</v>
      </c>
    </row>
    <row r="487" spans="1:1" x14ac:dyDescent="0.2">
      <c r="A487" t="s">
        <v>377</v>
      </c>
    </row>
    <row r="488" spans="1:1" x14ac:dyDescent="0.2">
      <c r="A488" t="s">
        <v>416</v>
      </c>
    </row>
    <row r="489" spans="1:1" x14ac:dyDescent="0.2">
      <c r="A489" t="s">
        <v>424</v>
      </c>
    </row>
    <row r="492" spans="1:1" x14ac:dyDescent="0.2">
      <c r="A492" t="s">
        <v>299</v>
      </c>
    </row>
    <row r="495" spans="1:1" x14ac:dyDescent="0.2">
      <c r="A495" t="s">
        <v>444</v>
      </c>
    </row>
    <row r="496" spans="1:1" x14ac:dyDescent="0.2">
      <c r="A496" t="s">
        <v>445</v>
      </c>
    </row>
    <row r="497" spans="1:1" x14ac:dyDescent="0.2">
      <c r="A497" t="s">
        <v>298</v>
      </c>
    </row>
    <row r="498" spans="1:1" x14ac:dyDescent="0.2">
      <c r="A498" t="s">
        <v>446</v>
      </c>
    </row>
    <row r="499" spans="1:1" x14ac:dyDescent="0.2">
      <c r="A499" t="s">
        <v>447</v>
      </c>
    </row>
    <row r="501" spans="1:1" x14ac:dyDescent="0.2">
      <c r="A501" t="s">
        <v>301</v>
      </c>
    </row>
    <row r="503" spans="1:1" x14ac:dyDescent="0.2">
      <c r="A503" t="s">
        <v>448</v>
      </c>
    </row>
    <row r="504" spans="1:1" x14ac:dyDescent="0.2">
      <c r="A504" t="s">
        <v>449</v>
      </c>
    </row>
    <row r="505" spans="1:1" x14ac:dyDescent="0.2">
      <c r="A505" t="s">
        <v>450</v>
      </c>
    </row>
    <row r="506" spans="1:1" x14ac:dyDescent="0.2">
      <c r="A506" t="s">
        <v>451</v>
      </c>
    </row>
    <row r="507" spans="1:1" x14ac:dyDescent="0.2">
      <c r="A507" t="s">
        <v>452</v>
      </c>
    </row>
    <row r="508" spans="1:1" x14ac:dyDescent="0.2">
      <c r="A508" t="s">
        <v>453</v>
      </c>
    </row>
    <row r="509" spans="1:1" x14ac:dyDescent="0.2">
      <c r="A509" t="s">
        <v>454</v>
      </c>
    </row>
    <row r="510" spans="1:1" x14ac:dyDescent="0.2">
      <c r="A510" t="s">
        <v>455</v>
      </c>
    </row>
    <row r="511" spans="1:1" x14ac:dyDescent="0.2">
      <c r="A511" t="s">
        <v>456</v>
      </c>
    </row>
    <row r="512" spans="1:1" x14ac:dyDescent="0.2">
      <c r="A512" t="s">
        <v>457</v>
      </c>
    </row>
    <row r="515" spans="1:1" x14ac:dyDescent="0.2">
      <c r="A515" t="s">
        <v>302</v>
      </c>
    </row>
    <row r="517" spans="1:1" x14ac:dyDescent="0.2">
      <c r="A517" t="s">
        <v>377</v>
      </c>
    </row>
    <row r="518" spans="1:1" x14ac:dyDescent="0.2">
      <c r="A518" t="s">
        <v>416</v>
      </c>
    </row>
    <row r="519" spans="1:1" x14ac:dyDescent="0.2">
      <c r="A519" t="s">
        <v>458</v>
      </c>
    </row>
    <row r="520" spans="1:1" x14ac:dyDescent="0.2">
      <c r="A520" t="s">
        <v>355</v>
      </c>
    </row>
    <row r="521" spans="1:1" x14ac:dyDescent="0.2">
      <c r="A521" t="s">
        <v>356</v>
      </c>
    </row>
    <row r="523" spans="1:1" x14ac:dyDescent="0.2">
      <c r="A523" t="s">
        <v>303</v>
      </c>
    </row>
    <row r="525" spans="1:1" x14ac:dyDescent="0.2">
      <c r="A525" t="s">
        <v>377</v>
      </c>
    </row>
    <row r="526" spans="1:1" x14ac:dyDescent="0.2">
      <c r="A526" t="s">
        <v>416</v>
      </c>
    </row>
    <row r="527" spans="1:1" x14ac:dyDescent="0.2">
      <c r="A527" t="s">
        <v>458</v>
      </c>
    </row>
    <row r="528" spans="1:1" x14ac:dyDescent="0.2">
      <c r="A528" t="s">
        <v>355</v>
      </c>
    </row>
    <row r="529" spans="1:1" x14ac:dyDescent="0.2">
      <c r="A529" t="s">
        <v>356</v>
      </c>
    </row>
    <row r="532" spans="1:1" x14ac:dyDescent="0.2">
      <c r="A532" t="s">
        <v>304</v>
      </c>
    </row>
    <row r="534" spans="1:1" x14ac:dyDescent="0.2">
      <c r="A534" t="s">
        <v>377</v>
      </c>
    </row>
    <row r="535" spans="1:1" x14ac:dyDescent="0.2">
      <c r="A535" t="s">
        <v>416</v>
      </c>
    </row>
    <row r="536" spans="1:1" x14ac:dyDescent="0.2">
      <c r="A536" t="s">
        <v>458</v>
      </c>
    </row>
    <row r="537" spans="1:1" x14ac:dyDescent="0.2">
      <c r="A537" t="s">
        <v>355</v>
      </c>
    </row>
    <row r="538" spans="1:1" x14ac:dyDescent="0.2">
      <c r="A538" t="s">
        <v>356</v>
      </c>
    </row>
    <row r="539" spans="1:1" x14ac:dyDescent="0.2">
      <c r="A539" t="s">
        <v>357</v>
      </c>
    </row>
    <row r="542" spans="1:1" x14ac:dyDescent="0.2">
      <c r="A542" t="s">
        <v>305</v>
      </c>
    </row>
    <row r="543" spans="1:1" x14ac:dyDescent="0.2">
      <c r="A543" t="s">
        <v>305</v>
      </c>
    </row>
    <row r="545" spans="1:1" x14ac:dyDescent="0.2">
      <c r="A545" t="s">
        <v>459</v>
      </c>
    </row>
    <row r="546" spans="1:1" x14ac:dyDescent="0.2">
      <c r="A546" t="s">
        <v>460</v>
      </c>
    </row>
    <row r="547" spans="1:1" x14ac:dyDescent="0.2">
      <c r="A547" t="s">
        <v>461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Donante</vt:lpstr>
      <vt:lpstr>Hoja2 (2)</vt:lpstr>
      <vt:lpstr>Receptor</vt:lpstr>
      <vt:lpstr>Hoja4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Rubio Chacón</dc:creator>
  <cp:lastModifiedBy>Carlos Rubio</cp:lastModifiedBy>
  <dcterms:created xsi:type="dcterms:W3CDTF">2021-11-11T17:35:30Z</dcterms:created>
  <dcterms:modified xsi:type="dcterms:W3CDTF">2023-11-10T20:37:32Z</dcterms:modified>
</cp:coreProperties>
</file>